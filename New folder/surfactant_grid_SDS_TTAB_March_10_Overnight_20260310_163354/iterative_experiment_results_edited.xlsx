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esktop\utoronto_demo\output\surfactant_grid_SDS_TTAB_March_10_Overnight_20260310_163354\"/>
    </mc:Choice>
  </mc:AlternateContent>
  <xr:revisionPtr revIDLastSave="0" documentId="8_{6C297885-1451-4F0D-BC61-CBFC4D0E7B16}" xr6:coauthVersionLast="36" xr6:coauthVersionMax="36" xr10:uidLastSave="{00000000-0000-0000-0000-000000000000}"/>
  <bookViews>
    <workbookView xWindow="0" yWindow="0" windowWidth="51600" windowHeight="17505"/>
  </bookViews>
  <sheets>
    <sheet name="iterative_experiment_results" sheetId="1" r:id="rId1"/>
  </sheets>
  <calcPr calcId="0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Z12" i="1" s="1"/>
  <c r="X13" i="1"/>
  <c r="Z23" i="1" s="1"/>
  <c r="X14" i="1"/>
  <c r="Z35" i="1" s="1"/>
  <c r="X15" i="1"/>
  <c r="X16" i="1"/>
  <c r="X17" i="1"/>
  <c r="X18" i="1"/>
  <c r="X19" i="1"/>
  <c r="X20" i="1"/>
  <c r="X21" i="1"/>
  <c r="X22" i="1"/>
  <c r="X23" i="1"/>
  <c r="X24" i="1"/>
  <c r="X25" i="1"/>
  <c r="Z25" i="1" s="1"/>
  <c r="X26" i="1"/>
  <c r="Z26" i="1" s="1"/>
  <c r="X27" i="1"/>
  <c r="X28" i="1"/>
  <c r="X29" i="1"/>
  <c r="X30" i="1"/>
  <c r="X31" i="1"/>
  <c r="X32" i="1"/>
  <c r="X33" i="1"/>
  <c r="X34" i="1"/>
  <c r="X35" i="1"/>
  <c r="X36" i="1"/>
  <c r="X37" i="1"/>
  <c r="Z37" i="1" s="1"/>
  <c r="X38" i="1"/>
  <c r="Z38" i="1" s="1"/>
  <c r="X39" i="1"/>
  <c r="X40" i="1"/>
  <c r="X41" i="1"/>
  <c r="X42" i="1"/>
  <c r="X43" i="1"/>
  <c r="X44" i="1"/>
  <c r="X45" i="1"/>
  <c r="X46" i="1"/>
  <c r="X47" i="1"/>
  <c r="X48" i="1"/>
  <c r="X49" i="1"/>
  <c r="Z49" i="1" s="1"/>
  <c r="X50" i="1"/>
  <c r="Z50" i="1" s="1"/>
  <c r="X51" i="1"/>
  <c r="X52" i="1"/>
  <c r="X53" i="1"/>
  <c r="X54" i="1"/>
  <c r="X55" i="1"/>
  <c r="X56" i="1"/>
  <c r="X57" i="1"/>
  <c r="X58" i="1"/>
  <c r="X59" i="1"/>
  <c r="X60" i="1"/>
  <c r="X61" i="1"/>
  <c r="X62" i="1"/>
  <c r="Z62" i="1" s="1"/>
  <c r="X63" i="1"/>
  <c r="X64" i="1"/>
  <c r="X65" i="1"/>
  <c r="X66" i="1"/>
  <c r="X67" i="1"/>
  <c r="X68" i="1"/>
  <c r="X69" i="1"/>
  <c r="X70" i="1"/>
  <c r="X71" i="1"/>
  <c r="X72" i="1"/>
  <c r="X73" i="1"/>
  <c r="Z73" i="1" s="1"/>
  <c r="X74" i="1"/>
  <c r="Z74" i="1" s="1"/>
  <c r="X75" i="1"/>
  <c r="X76" i="1"/>
  <c r="X77" i="1"/>
  <c r="X78" i="1"/>
  <c r="X79" i="1"/>
  <c r="X80" i="1"/>
  <c r="X81" i="1"/>
  <c r="X82" i="1"/>
  <c r="X83" i="1"/>
  <c r="X84" i="1"/>
  <c r="X85" i="1"/>
  <c r="Z85" i="1" s="1"/>
  <c r="X86" i="1"/>
  <c r="Z86" i="1" s="1"/>
  <c r="X87" i="1"/>
  <c r="X88" i="1"/>
  <c r="X89" i="1"/>
  <c r="X90" i="1"/>
  <c r="X91" i="1"/>
  <c r="X92" i="1"/>
  <c r="X93" i="1"/>
  <c r="X94" i="1"/>
  <c r="X95" i="1"/>
  <c r="X96" i="1"/>
  <c r="X97" i="1"/>
  <c r="Z97" i="1" s="1"/>
  <c r="X98" i="1"/>
  <c r="Z98" i="1" s="1"/>
  <c r="X99" i="1"/>
  <c r="X100" i="1"/>
  <c r="X101" i="1"/>
  <c r="X102" i="1"/>
  <c r="X103" i="1"/>
  <c r="X104" i="1"/>
  <c r="X105" i="1"/>
  <c r="X106" i="1"/>
  <c r="X107" i="1"/>
  <c r="X108" i="1"/>
  <c r="X109" i="1"/>
  <c r="Z109" i="1" s="1"/>
  <c r="X110" i="1"/>
  <c r="Z110" i="1" s="1"/>
  <c r="X111" i="1"/>
  <c r="X112" i="1"/>
  <c r="X113" i="1"/>
  <c r="X114" i="1"/>
  <c r="X115" i="1"/>
  <c r="X116" i="1"/>
  <c r="X117" i="1"/>
  <c r="X118" i="1"/>
  <c r="X119" i="1"/>
  <c r="X120" i="1"/>
  <c r="X121" i="1"/>
  <c r="Z121" i="1" s="1"/>
  <c r="X122" i="1"/>
  <c r="Z122" i="1" s="1"/>
  <c r="X123" i="1"/>
  <c r="X124" i="1"/>
  <c r="X125" i="1"/>
  <c r="X126" i="1"/>
  <c r="X127" i="1"/>
  <c r="X128" i="1"/>
  <c r="X129" i="1"/>
  <c r="X130" i="1"/>
  <c r="X131" i="1"/>
  <c r="X132" i="1"/>
  <c r="X133" i="1"/>
  <c r="Z133" i="1" s="1"/>
  <c r="X134" i="1"/>
  <c r="Z134" i="1" s="1"/>
  <c r="X135" i="1"/>
  <c r="X136" i="1"/>
  <c r="X137" i="1"/>
  <c r="X138" i="1"/>
  <c r="X139" i="1"/>
  <c r="X140" i="1"/>
  <c r="X141" i="1"/>
  <c r="X142" i="1"/>
  <c r="X143" i="1"/>
  <c r="X144" i="1"/>
  <c r="X145" i="1"/>
  <c r="Z145" i="1" s="1"/>
  <c r="X146" i="1"/>
  <c r="Z146" i="1" s="1"/>
  <c r="X147" i="1"/>
  <c r="X148" i="1"/>
  <c r="X149" i="1"/>
  <c r="X150" i="1"/>
  <c r="X151" i="1"/>
  <c r="X152" i="1"/>
  <c r="X153" i="1"/>
  <c r="X154" i="1"/>
  <c r="X155" i="1"/>
  <c r="X156" i="1"/>
  <c r="X157" i="1"/>
  <c r="Z157" i="1" s="1"/>
  <c r="X158" i="1"/>
  <c r="Z158" i="1" s="1"/>
  <c r="X159" i="1"/>
  <c r="X160" i="1"/>
  <c r="X161" i="1"/>
  <c r="X162" i="1"/>
  <c r="X163" i="1"/>
  <c r="X164" i="1"/>
  <c r="X165" i="1"/>
  <c r="X166" i="1"/>
  <c r="X167" i="1"/>
  <c r="X168" i="1"/>
  <c r="X169" i="1"/>
  <c r="Z169" i="1" s="1"/>
  <c r="X170" i="1"/>
  <c r="Z170" i="1" s="1"/>
  <c r="X171" i="1"/>
  <c r="X172" i="1"/>
  <c r="X173" i="1"/>
  <c r="X174" i="1"/>
  <c r="X175" i="1"/>
  <c r="X176" i="1"/>
  <c r="X177" i="1"/>
  <c r="X178" i="1"/>
  <c r="X179" i="1"/>
  <c r="X180" i="1"/>
  <c r="X181" i="1"/>
  <c r="Z181" i="1" s="1"/>
  <c r="X182" i="1"/>
  <c r="Z182" i="1" s="1"/>
  <c r="X183" i="1"/>
  <c r="X184" i="1"/>
  <c r="X185" i="1"/>
  <c r="X186" i="1"/>
  <c r="X187" i="1"/>
  <c r="X188" i="1"/>
  <c r="X189" i="1"/>
  <c r="X190" i="1"/>
  <c r="X191" i="1"/>
  <c r="X192" i="1"/>
  <c r="X193" i="1"/>
  <c r="Z193" i="1" s="1"/>
  <c r="Z10" i="1"/>
  <c r="X2" i="1"/>
  <c r="Y3" i="1"/>
  <c r="Y4" i="1"/>
  <c r="Y5" i="1"/>
  <c r="Y6" i="1"/>
  <c r="Y7" i="1"/>
  <c r="Y8" i="1"/>
  <c r="Y9" i="1"/>
  <c r="Z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Z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Z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Z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Z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Z81" i="1"/>
  <c r="Y82" i="1"/>
  <c r="Y83" i="1"/>
  <c r="Y84" i="1"/>
  <c r="Y85" i="1"/>
  <c r="Y86" i="1"/>
  <c r="Y87" i="1"/>
  <c r="Z87" i="1"/>
  <c r="Y88" i="1"/>
  <c r="Y89" i="1"/>
  <c r="Y90" i="1"/>
  <c r="Y91" i="1"/>
  <c r="Y92" i="1"/>
  <c r="Y93" i="1"/>
  <c r="Z93" i="1"/>
  <c r="Y94" i="1"/>
  <c r="Y95" i="1"/>
  <c r="Y96" i="1"/>
  <c r="Y97" i="1"/>
  <c r="Y98" i="1"/>
  <c r="Y99" i="1"/>
  <c r="Z99" i="1"/>
  <c r="Y100" i="1"/>
  <c r="Y101" i="1"/>
  <c r="Y102" i="1"/>
  <c r="Y103" i="1"/>
  <c r="Y104" i="1"/>
  <c r="Y105" i="1"/>
  <c r="Z105" i="1"/>
  <c r="Y106" i="1"/>
  <c r="Y107" i="1"/>
  <c r="Y108" i="1"/>
  <c r="Y109" i="1"/>
  <c r="Y110" i="1"/>
  <c r="Y111" i="1"/>
  <c r="Z111" i="1"/>
  <c r="Y112" i="1"/>
  <c r="Y113" i="1"/>
  <c r="Y114" i="1"/>
  <c r="Y115" i="1"/>
  <c r="Y116" i="1"/>
  <c r="Y117" i="1"/>
  <c r="Z117" i="1"/>
  <c r="Y118" i="1"/>
  <c r="Y119" i="1"/>
  <c r="Y120" i="1"/>
  <c r="Y121" i="1"/>
  <c r="Y122" i="1"/>
  <c r="Y123" i="1"/>
  <c r="Z123" i="1"/>
  <c r="Y124" i="1"/>
  <c r="Y125" i="1"/>
  <c r="Y126" i="1"/>
  <c r="Y127" i="1"/>
  <c r="Y128" i="1"/>
  <c r="Y129" i="1"/>
  <c r="Z129" i="1"/>
  <c r="Y130" i="1"/>
  <c r="Y131" i="1"/>
  <c r="Y132" i="1"/>
  <c r="Y133" i="1"/>
  <c r="Y134" i="1"/>
  <c r="Y135" i="1"/>
  <c r="Z135" i="1"/>
  <c r="Y136" i="1"/>
  <c r="Y137" i="1"/>
  <c r="Y138" i="1"/>
  <c r="Y139" i="1"/>
  <c r="Y140" i="1"/>
  <c r="Y141" i="1"/>
  <c r="Z141" i="1"/>
  <c r="Y142" i="1"/>
  <c r="Y143" i="1"/>
  <c r="Y144" i="1"/>
  <c r="Y145" i="1"/>
  <c r="Y146" i="1"/>
  <c r="Y147" i="1"/>
  <c r="Z147" i="1"/>
  <c r="Y148" i="1"/>
  <c r="Y149" i="1"/>
  <c r="Y150" i="1"/>
  <c r="Y151" i="1"/>
  <c r="Y152" i="1"/>
  <c r="Y153" i="1"/>
  <c r="Z153" i="1"/>
  <c r="Y154" i="1"/>
  <c r="Y155" i="1"/>
  <c r="Y156" i="1"/>
  <c r="Y157" i="1"/>
  <c r="Y158" i="1"/>
  <c r="Y159" i="1"/>
  <c r="Z159" i="1"/>
  <c r="Y160" i="1"/>
  <c r="Y161" i="1"/>
  <c r="Y162" i="1"/>
  <c r="Y163" i="1"/>
  <c r="Y164" i="1"/>
  <c r="Y165" i="1"/>
  <c r="Z165" i="1"/>
  <c r="Y166" i="1"/>
  <c r="Y167" i="1"/>
  <c r="Y168" i="1"/>
  <c r="Y169" i="1"/>
  <c r="Y170" i="1"/>
  <c r="Y171" i="1"/>
  <c r="Z171" i="1"/>
  <c r="Y172" i="1"/>
  <c r="Y173" i="1"/>
  <c r="Y174" i="1"/>
  <c r="Y175" i="1"/>
  <c r="Y176" i="1"/>
  <c r="Y177" i="1"/>
  <c r="Z177" i="1"/>
  <c r="Y178" i="1"/>
  <c r="Y179" i="1"/>
  <c r="Y180" i="1"/>
  <c r="Y181" i="1"/>
  <c r="Y182" i="1"/>
  <c r="Y183" i="1"/>
  <c r="Z183" i="1"/>
  <c r="Y184" i="1"/>
  <c r="Y185" i="1"/>
  <c r="Y186" i="1"/>
  <c r="Y187" i="1"/>
  <c r="Y188" i="1"/>
  <c r="Y189" i="1"/>
  <c r="Z189" i="1"/>
  <c r="Y190" i="1"/>
  <c r="Y191" i="1"/>
  <c r="Y192" i="1"/>
  <c r="Y193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2" i="1"/>
  <c r="Z61" i="1" l="1"/>
  <c r="Z164" i="1"/>
  <c r="Z152" i="1"/>
  <c r="Z140" i="1"/>
  <c r="Z104" i="1"/>
  <c r="Z92" i="1"/>
  <c r="Z67" i="1"/>
  <c r="Z54" i="1"/>
  <c r="Z41" i="1"/>
  <c r="Z21" i="1"/>
  <c r="Z8" i="1"/>
  <c r="Z128" i="1"/>
  <c r="Z116" i="1"/>
  <c r="Z80" i="1"/>
  <c r="Z60" i="1"/>
  <c r="Z47" i="1"/>
  <c r="Z27" i="1"/>
  <c r="Z14" i="1"/>
  <c r="Z188" i="1"/>
  <c r="Z175" i="1"/>
  <c r="Z163" i="1"/>
  <c r="Z139" i="1"/>
  <c r="Z127" i="1"/>
  <c r="Z115" i="1"/>
  <c r="Z91" i="1"/>
  <c r="Z79" i="1"/>
  <c r="Z66" i="1"/>
  <c r="Z53" i="1"/>
  <c r="Z33" i="1"/>
  <c r="Z20" i="1"/>
  <c r="Z48" i="1"/>
  <c r="Z176" i="1"/>
  <c r="Z187" i="1"/>
  <c r="Z151" i="1"/>
  <c r="Z103" i="1"/>
  <c r="Z72" i="1"/>
  <c r="Z59" i="1"/>
  <c r="Z39" i="1"/>
  <c r="Z13" i="1"/>
  <c r="Z6" i="1"/>
  <c r="Z192" i="1"/>
  <c r="Z180" i="1"/>
  <c r="Z168" i="1"/>
  <c r="Z150" i="1"/>
  <c r="Z138" i="1"/>
  <c r="Z126" i="1"/>
  <c r="Z114" i="1"/>
  <c r="Z108" i="1"/>
  <c r="Z102" i="1"/>
  <c r="Z90" i="1"/>
  <c r="Z84" i="1"/>
  <c r="Z78" i="1"/>
  <c r="Z65" i="1"/>
  <c r="Z45" i="1"/>
  <c r="Z32" i="1"/>
  <c r="Z19" i="1"/>
  <c r="Z186" i="1"/>
  <c r="Z174" i="1"/>
  <c r="Z162" i="1"/>
  <c r="Z156" i="1"/>
  <c r="Z144" i="1"/>
  <c r="Z132" i="1"/>
  <c r="Z120" i="1"/>
  <c r="Z96" i="1"/>
  <c r="Z71" i="1"/>
  <c r="Z51" i="1"/>
  <c r="Z191" i="1"/>
  <c r="Z179" i="1"/>
  <c r="Z167" i="1"/>
  <c r="Z155" i="1"/>
  <c r="Z143" i="1"/>
  <c r="Z131" i="1"/>
  <c r="Z119" i="1"/>
  <c r="Z107" i="1"/>
  <c r="Z101" i="1"/>
  <c r="Z89" i="1"/>
  <c r="Z83" i="1"/>
  <c r="Z77" i="1"/>
  <c r="Z57" i="1"/>
  <c r="Z44" i="1"/>
  <c r="Z31" i="1"/>
  <c r="Z18" i="1"/>
  <c r="Z4" i="1"/>
  <c r="Z15" i="1"/>
  <c r="Z185" i="1"/>
  <c r="Z173" i="1"/>
  <c r="Z161" i="1"/>
  <c r="Z149" i="1"/>
  <c r="Z137" i="1"/>
  <c r="Z125" i="1"/>
  <c r="Z113" i="1"/>
  <c r="Z95" i="1"/>
  <c r="Z63" i="1"/>
  <c r="Z24" i="1"/>
  <c r="Z11" i="1"/>
  <c r="Z184" i="1"/>
  <c r="Z172" i="1"/>
  <c r="Z160" i="1"/>
  <c r="Z148" i="1"/>
  <c r="Z136" i="1"/>
  <c r="Z124" i="1"/>
  <c r="Z112" i="1"/>
  <c r="Z106" i="1"/>
  <c r="Z94" i="1"/>
  <c r="Z88" i="1"/>
  <c r="Z82" i="1"/>
  <c r="Z69" i="1"/>
  <c r="Z56" i="1"/>
  <c r="Z43" i="1"/>
  <c r="Z30" i="1"/>
  <c r="Z17" i="1"/>
  <c r="Z190" i="1"/>
  <c r="Z178" i="1"/>
  <c r="Z166" i="1"/>
  <c r="Z154" i="1"/>
  <c r="Z142" i="1"/>
  <c r="Z130" i="1"/>
  <c r="Z118" i="1"/>
  <c r="Z100" i="1"/>
  <c r="Z75" i="1"/>
  <c r="Z36" i="1"/>
  <c r="Z3" i="1"/>
  <c r="Z76" i="1"/>
  <c r="Z70" i="1"/>
  <c r="Z64" i="1"/>
  <c r="Z58" i="1"/>
  <c r="Z52" i="1"/>
  <c r="Z46" i="1"/>
  <c r="Z40" i="1"/>
  <c r="Z34" i="1"/>
  <c r="Z28" i="1"/>
  <c r="Z22" i="1"/>
  <c r="Z16" i="1"/>
  <c r="Z2" i="1"/>
  <c r="Z7" i="1"/>
  <c r="Z5" i="1"/>
</calcChain>
</file>

<file path=xl/sharedStrings.xml><?xml version="1.0" encoding="utf-8"?>
<sst xmlns="http://schemas.openxmlformats.org/spreadsheetml/2006/main" count="1157" uniqueCount="61">
  <si>
    <t>wellplate_index</t>
  </si>
  <si>
    <t>well_type</t>
  </si>
  <si>
    <t>control_type</t>
  </si>
  <si>
    <t>surf_A</t>
  </si>
  <si>
    <t>surf_B</t>
  </si>
  <si>
    <t>surf_A_conc_mm</t>
  </si>
  <si>
    <t>surf_B_conc_mm</t>
  </si>
  <si>
    <t>substock_A_name</t>
  </si>
  <si>
    <t>substock_A_conc_mm</t>
  </si>
  <si>
    <t>surf_A_volume_ul</t>
  </si>
  <si>
    <t>substock_B_name</t>
  </si>
  <si>
    <t>substock_B_conc_mm</t>
  </si>
  <si>
    <t>surf_B_volume_ul</t>
  </si>
  <si>
    <t>water_volume_ul</t>
  </si>
  <si>
    <t>buffer_volume_ul</t>
  </si>
  <si>
    <t>buffer_used</t>
  </si>
  <si>
    <t>pyrene_volume_ul</t>
  </si>
  <si>
    <t>replicate</t>
  </si>
  <si>
    <t>turbidity_600</t>
  </si>
  <si>
    <t>fluorescence_334_373</t>
  </si>
  <si>
    <t>fluorescence_334_384</t>
  </si>
  <si>
    <t>ratio</t>
  </si>
  <si>
    <t>control</t>
  </si>
  <si>
    <t>surfactant_A_stock</t>
  </si>
  <si>
    <t>SDS</t>
  </si>
  <si>
    <t>TTAB</t>
  </si>
  <si>
    <t>SDS_stock</t>
  </si>
  <si>
    <t>surfactant_B_stock</t>
  </si>
  <si>
    <t>TTAB_stock</t>
  </si>
  <si>
    <t>water_blank</t>
  </si>
  <si>
    <t>cmc_SDS_1</t>
  </si>
  <si>
    <t>SDS_dilution_1</t>
  </si>
  <si>
    <t>cmc_SDS_2</t>
  </si>
  <si>
    <t>SDS_dilution_0</t>
  </si>
  <si>
    <t>cmc_SDS_3</t>
  </si>
  <si>
    <t>cmc_SDS_4</t>
  </si>
  <si>
    <t>cmc_SDS_5</t>
  </si>
  <si>
    <t>cmc_SDS_6</t>
  </si>
  <si>
    <t>cmc_SDS_7</t>
  </si>
  <si>
    <t>cmc_SDS_8</t>
  </si>
  <si>
    <t>cmc_TTAB_1</t>
  </si>
  <si>
    <t>TTAB_dilution_2</t>
  </si>
  <si>
    <t>cmc_TTAB_2</t>
  </si>
  <si>
    <t>TTAB_dilution_1</t>
  </si>
  <si>
    <t>cmc_TTAB_3</t>
  </si>
  <si>
    <t>cmc_TTAB_4</t>
  </si>
  <si>
    <t>cmc_TTAB_5</t>
  </si>
  <si>
    <t>TTAB_dilution_0</t>
  </si>
  <si>
    <t>cmc_TTAB_6</t>
  </si>
  <si>
    <t>cmc_TTAB_7</t>
  </si>
  <si>
    <t>cmc_TTAB_8</t>
  </si>
  <si>
    <t>experiment</t>
  </si>
  <si>
    <t>SDS_dilution_5</t>
  </si>
  <si>
    <t>TTAB_dilution_5</t>
  </si>
  <si>
    <t>TTAB_dilution_3</t>
  </si>
  <si>
    <t>SDS_dilution_3</t>
  </si>
  <si>
    <t>TTAB_dilution_4</t>
  </si>
  <si>
    <t>SDS_dilution_4</t>
  </si>
  <si>
    <t>SDS_dilution_2</t>
  </si>
  <si>
    <t>average_fluorescence</t>
  </si>
  <si>
    <t>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</si>
</sst>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3"/>
  <sheetViews>
    <sheetView tabSelected="1" workbookViewId="0">
      <selection activeCell="AB4" sqref="AB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59</v>
      </c>
      <c r="Y1" t="s">
        <v>60</v>
      </c>
      <c r="Z1" t="s">
        <v>60</v>
      </c>
    </row>
    <row r="2" spans="1:26" x14ac:dyDescent="0.25">
      <c r="A2">
        <v>0</v>
      </c>
      <c r="B2" t="s">
        <v>22</v>
      </c>
      <c r="C2" t="s">
        <v>23</v>
      </c>
      <c r="D2" t="s">
        <v>24</v>
      </c>
      <c r="E2" t="s">
        <v>25</v>
      </c>
      <c r="F2">
        <v>50</v>
      </c>
      <c r="H2" t="s">
        <v>26</v>
      </c>
      <c r="I2">
        <v>50</v>
      </c>
      <c r="J2">
        <v>200</v>
      </c>
      <c r="M2">
        <v>0</v>
      </c>
      <c r="N2">
        <v>0</v>
      </c>
      <c r="O2">
        <v>0</v>
      </c>
      <c r="Q2">
        <v>5</v>
      </c>
      <c r="R2">
        <v>1</v>
      </c>
      <c r="S2">
        <v>3.9E-2</v>
      </c>
      <c r="T2">
        <v>272019</v>
      </c>
      <c r="U2">
        <v>359864</v>
      </c>
      <c r="V2">
        <v>0.75589389324856004</v>
      </c>
      <c r="W2">
        <f>AVERAGE(T2:U2)</f>
        <v>315941.5</v>
      </c>
      <c r="X2">
        <f>W2*S2</f>
        <v>12321.718500000001</v>
      </c>
      <c r="Y2">
        <f>W2/MAX(W:W)</f>
        <v>0.90862331021570852</v>
      </c>
      <c r="Z2">
        <f>X2/MAX(X:X)</f>
        <v>2.8590717341410964E-2</v>
      </c>
    </row>
    <row r="3" spans="1:26" x14ac:dyDescent="0.25">
      <c r="A3">
        <v>1</v>
      </c>
      <c r="B3" t="s">
        <v>22</v>
      </c>
      <c r="C3" t="s">
        <v>27</v>
      </c>
      <c r="D3" t="s">
        <v>24</v>
      </c>
      <c r="E3" t="s">
        <v>25</v>
      </c>
      <c r="G3">
        <v>50</v>
      </c>
      <c r="J3">
        <v>0</v>
      </c>
      <c r="K3" t="s">
        <v>28</v>
      </c>
      <c r="L3">
        <v>50</v>
      </c>
      <c r="M3">
        <v>200</v>
      </c>
      <c r="N3">
        <v>0</v>
      </c>
      <c r="O3">
        <v>0</v>
      </c>
      <c r="Q3">
        <v>5</v>
      </c>
      <c r="R3">
        <v>1</v>
      </c>
      <c r="S3">
        <v>3.8300000000000001E-2</v>
      </c>
      <c r="T3">
        <v>195502</v>
      </c>
      <c r="U3">
        <v>249226</v>
      </c>
      <c r="V3">
        <v>0.78443661576239998</v>
      </c>
      <c r="W3">
        <f t="shared" ref="W3:W66" si="0">AVERAGE(T3:U3)</f>
        <v>222364</v>
      </c>
      <c r="X3">
        <f t="shared" ref="X3:X66" si="1">W3*S3</f>
        <v>8516.5411999999997</v>
      </c>
      <c r="Y3">
        <f t="shared" ref="Y3:Y66" si="2">W3/MAX(W:W)</f>
        <v>0.63950166012633924</v>
      </c>
      <c r="Z3">
        <f t="shared" ref="Z3:Z66" si="3">X3/MAX(X:X)</f>
        <v>1.9761368690226197E-2</v>
      </c>
    </row>
    <row r="4" spans="1:26" x14ac:dyDescent="0.25">
      <c r="A4">
        <v>2</v>
      </c>
      <c r="B4" t="s">
        <v>22</v>
      </c>
      <c r="C4" t="s">
        <v>29</v>
      </c>
      <c r="D4" t="s">
        <v>24</v>
      </c>
      <c r="E4" t="s">
        <v>25</v>
      </c>
      <c r="J4">
        <v>0</v>
      </c>
      <c r="M4">
        <v>0</v>
      </c>
      <c r="N4">
        <v>200</v>
      </c>
      <c r="O4">
        <v>0</v>
      </c>
      <c r="Q4">
        <v>5</v>
      </c>
      <c r="R4">
        <v>1</v>
      </c>
      <c r="S4">
        <v>3.9E-2</v>
      </c>
      <c r="T4">
        <v>316802</v>
      </c>
      <c r="U4">
        <v>370882</v>
      </c>
      <c r="V4">
        <v>0.85418542824941601</v>
      </c>
      <c r="W4">
        <f t="shared" si="0"/>
        <v>343842</v>
      </c>
      <c r="X4">
        <f t="shared" si="1"/>
        <v>13409.838</v>
      </c>
      <c r="Y4">
        <f t="shared" si="2"/>
        <v>0.98886298960785357</v>
      </c>
      <c r="Z4">
        <f t="shared" si="3"/>
        <v>3.1115536996897931E-2</v>
      </c>
    </row>
    <row r="5" spans="1:26" x14ac:dyDescent="0.25">
      <c r="A5">
        <v>3</v>
      </c>
      <c r="B5" t="s">
        <v>22</v>
      </c>
      <c r="C5" t="s">
        <v>30</v>
      </c>
      <c r="D5" t="s">
        <v>24</v>
      </c>
      <c r="E5" t="s">
        <v>25</v>
      </c>
      <c r="F5">
        <v>2.86666666666666</v>
      </c>
      <c r="H5" t="s">
        <v>31</v>
      </c>
      <c r="I5">
        <v>4</v>
      </c>
      <c r="J5">
        <v>143.333333333333</v>
      </c>
      <c r="M5">
        <v>0</v>
      </c>
      <c r="N5">
        <v>56.6666666666666</v>
      </c>
      <c r="O5">
        <v>0</v>
      </c>
      <c r="Q5">
        <v>5</v>
      </c>
      <c r="R5">
        <v>1</v>
      </c>
      <c r="S5">
        <v>4.0300000000000002E-2</v>
      </c>
      <c r="T5">
        <v>277300</v>
      </c>
      <c r="U5">
        <v>323779</v>
      </c>
      <c r="V5">
        <v>0.85644837991345901</v>
      </c>
      <c r="W5">
        <f t="shared" si="0"/>
        <v>300539.5</v>
      </c>
      <c r="X5">
        <f t="shared" si="1"/>
        <v>12111.74185</v>
      </c>
      <c r="Y5">
        <f t="shared" si="2"/>
        <v>0.86432834983873263</v>
      </c>
      <c r="Z5">
        <f t="shared" si="3"/>
        <v>2.8103497717910687E-2</v>
      </c>
    </row>
    <row r="6" spans="1:26" x14ac:dyDescent="0.25">
      <c r="A6">
        <v>4</v>
      </c>
      <c r="B6" t="s">
        <v>22</v>
      </c>
      <c r="C6" t="s">
        <v>32</v>
      </c>
      <c r="D6" t="s">
        <v>24</v>
      </c>
      <c r="E6" t="s">
        <v>25</v>
      </c>
      <c r="F6">
        <v>4.6357258601285398</v>
      </c>
      <c r="H6" t="s">
        <v>33</v>
      </c>
      <c r="I6">
        <v>10</v>
      </c>
      <c r="J6">
        <v>92.714517202570804</v>
      </c>
      <c r="M6">
        <v>0</v>
      </c>
      <c r="N6">
        <v>107.285482797429</v>
      </c>
      <c r="O6">
        <v>0</v>
      </c>
      <c r="Q6">
        <v>5</v>
      </c>
      <c r="R6">
        <v>1</v>
      </c>
      <c r="S6">
        <v>3.9300000000000002E-2</v>
      </c>
      <c r="T6">
        <v>268716</v>
      </c>
      <c r="U6">
        <v>314695</v>
      </c>
      <c r="V6">
        <v>0.85389345239040904</v>
      </c>
      <c r="W6">
        <f t="shared" si="0"/>
        <v>291705.5</v>
      </c>
      <c r="X6">
        <f t="shared" si="1"/>
        <v>11464.02615</v>
      </c>
      <c r="Y6">
        <f t="shared" si="2"/>
        <v>0.83892244930826876</v>
      </c>
      <c r="Z6">
        <f t="shared" si="3"/>
        <v>2.6600569656675222E-2</v>
      </c>
    </row>
    <row r="7" spans="1:26" x14ac:dyDescent="0.25">
      <c r="A7">
        <v>5</v>
      </c>
      <c r="B7" t="s">
        <v>22</v>
      </c>
      <c r="C7" t="s">
        <v>34</v>
      </c>
      <c r="D7" t="s">
        <v>24</v>
      </c>
      <c r="E7" t="s">
        <v>25</v>
      </c>
      <c r="F7">
        <v>6.53458689660369</v>
      </c>
      <c r="H7" t="s">
        <v>33</v>
      </c>
      <c r="I7">
        <v>10</v>
      </c>
      <c r="J7">
        <v>130.69173793207301</v>
      </c>
      <c r="M7">
        <v>0</v>
      </c>
      <c r="N7">
        <v>69.308262067926094</v>
      </c>
      <c r="O7">
        <v>0</v>
      </c>
      <c r="Q7">
        <v>5</v>
      </c>
      <c r="R7">
        <v>1</v>
      </c>
      <c r="S7">
        <v>4.2900000000000001E-2</v>
      </c>
      <c r="T7">
        <v>245625</v>
      </c>
      <c r="U7">
        <v>286959</v>
      </c>
      <c r="V7">
        <v>0.85595851672190104</v>
      </c>
      <c r="W7">
        <f t="shared" si="0"/>
        <v>266292</v>
      </c>
      <c r="X7">
        <f t="shared" si="1"/>
        <v>11423.926799999999</v>
      </c>
      <c r="Y7">
        <f t="shared" si="2"/>
        <v>0.76583518950173202</v>
      </c>
      <c r="Z7">
        <f t="shared" si="3"/>
        <v>2.6507525071910173E-2</v>
      </c>
    </row>
    <row r="8" spans="1:26" x14ac:dyDescent="0.25">
      <c r="A8">
        <v>6</v>
      </c>
      <c r="B8" t="s">
        <v>22</v>
      </c>
      <c r="C8" t="s">
        <v>35</v>
      </c>
      <c r="D8" t="s">
        <v>24</v>
      </c>
      <c r="E8" t="s">
        <v>25</v>
      </c>
      <c r="F8">
        <v>8.0293127197035705</v>
      </c>
      <c r="H8" t="s">
        <v>33</v>
      </c>
      <c r="I8">
        <v>10</v>
      </c>
      <c r="J8">
        <v>160.58625439407101</v>
      </c>
      <c r="M8">
        <v>0</v>
      </c>
      <c r="N8">
        <v>39.413745605928497</v>
      </c>
      <c r="O8">
        <v>0</v>
      </c>
      <c r="Q8">
        <v>5</v>
      </c>
      <c r="R8">
        <v>1</v>
      </c>
      <c r="S8">
        <v>3.9399999999999998E-2</v>
      </c>
      <c r="T8">
        <v>245757</v>
      </c>
      <c r="U8">
        <v>291693</v>
      </c>
      <c r="V8">
        <v>0.84251936110911096</v>
      </c>
      <c r="W8">
        <f t="shared" si="0"/>
        <v>268725</v>
      </c>
      <c r="X8">
        <f t="shared" si="1"/>
        <v>10587.764999999999</v>
      </c>
      <c r="Y8">
        <f t="shared" si="2"/>
        <v>0.77283230926521618</v>
      </c>
      <c r="Z8">
        <f t="shared" si="3"/>
        <v>2.456733583000488E-2</v>
      </c>
    </row>
    <row r="9" spans="1:26" x14ac:dyDescent="0.25">
      <c r="A9">
        <v>7</v>
      </c>
      <c r="B9" t="s">
        <v>22</v>
      </c>
      <c r="C9" t="s">
        <v>36</v>
      </c>
      <c r="D9" t="s">
        <v>24</v>
      </c>
      <c r="E9" t="s">
        <v>25</v>
      </c>
      <c r="F9">
        <v>9.21124915442706</v>
      </c>
      <c r="H9" t="s">
        <v>33</v>
      </c>
      <c r="I9">
        <v>10</v>
      </c>
      <c r="J9">
        <v>184.22498308854099</v>
      </c>
      <c r="M9">
        <v>0</v>
      </c>
      <c r="N9">
        <v>15.7750169114587</v>
      </c>
      <c r="O9">
        <v>0</v>
      </c>
      <c r="Q9">
        <v>5</v>
      </c>
      <c r="R9">
        <v>1</v>
      </c>
      <c r="S9">
        <v>3.8800000000000001E-2</v>
      </c>
      <c r="T9">
        <v>234765</v>
      </c>
      <c r="U9">
        <v>290048</v>
      </c>
      <c r="V9">
        <v>0.809400513018534</v>
      </c>
      <c r="W9">
        <f t="shared" si="0"/>
        <v>262406.5</v>
      </c>
      <c r="X9">
        <f t="shared" si="1"/>
        <v>10181.3722</v>
      </c>
      <c r="Y9">
        <f t="shared" si="2"/>
        <v>0.75466079211537052</v>
      </c>
      <c r="Z9">
        <f t="shared" si="3"/>
        <v>2.3624361708790821E-2</v>
      </c>
    </row>
    <row r="10" spans="1:26" x14ac:dyDescent="0.25">
      <c r="A10">
        <v>8</v>
      </c>
      <c r="B10" t="s">
        <v>22</v>
      </c>
      <c r="C10" t="s">
        <v>37</v>
      </c>
      <c r="D10" t="s">
        <v>24</v>
      </c>
      <c r="E10" t="s">
        <v>25</v>
      </c>
      <c r="F10">
        <v>11.318236511391399</v>
      </c>
      <c r="H10" t="s">
        <v>26</v>
      </c>
      <c r="I10">
        <v>50</v>
      </c>
      <c r="J10">
        <v>45.272946045565703</v>
      </c>
      <c r="M10">
        <v>0</v>
      </c>
      <c r="N10">
        <v>154.72705395443401</v>
      </c>
      <c r="O10">
        <v>0</v>
      </c>
      <c r="Q10">
        <v>5</v>
      </c>
      <c r="R10">
        <v>1</v>
      </c>
      <c r="S10">
        <v>3.8699999999999998E-2</v>
      </c>
      <c r="T10">
        <v>252276</v>
      </c>
      <c r="U10">
        <v>320673</v>
      </c>
      <c r="V10">
        <v>0.78670795483249201</v>
      </c>
      <c r="W10">
        <f t="shared" si="0"/>
        <v>286474.5</v>
      </c>
      <c r="X10">
        <f t="shared" si="1"/>
        <v>11086.56315</v>
      </c>
      <c r="Y10">
        <f t="shared" si="2"/>
        <v>0.82387849802064628</v>
      </c>
      <c r="Z10">
        <f t="shared" si="3"/>
        <v>2.5724722838730063E-2</v>
      </c>
    </row>
    <row r="11" spans="1:26" x14ac:dyDescent="0.25">
      <c r="A11">
        <v>9</v>
      </c>
      <c r="B11" t="s">
        <v>22</v>
      </c>
      <c r="C11" t="s">
        <v>38</v>
      </c>
      <c r="D11" t="s">
        <v>24</v>
      </c>
      <c r="E11" t="s">
        <v>25</v>
      </c>
      <c r="F11">
        <v>15.9543515366435</v>
      </c>
      <c r="H11" t="s">
        <v>26</v>
      </c>
      <c r="I11">
        <v>50</v>
      </c>
      <c r="J11">
        <v>63.8174061465741</v>
      </c>
      <c r="M11">
        <v>0</v>
      </c>
      <c r="N11">
        <v>136.182593853425</v>
      </c>
      <c r="O11">
        <v>0</v>
      </c>
      <c r="Q11">
        <v>5</v>
      </c>
      <c r="R11">
        <v>1</v>
      </c>
      <c r="S11">
        <v>3.78E-2</v>
      </c>
      <c r="T11">
        <v>231050</v>
      </c>
      <c r="U11">
        <v>294932</v>
      </c>
      <c r="V11">
        <v>0.78340091953399404</v>
      </c>
      <c r="W11">
        <f t="shared" si="0"/>
        <v>262991</v>
      </c>
      <c r="X11">
        <f t="shared" si="1"/>
        <v>9941.0598000000009</v>
      </c>
      <c r="Y11">
        <f t="shared" si="2"/>
        <v>0.75634176889373317</v>
      </c>
      <c r="Z11">
        <f t="shared" si="3"/>
        <v>2.3066752483905828E-2</v>
      </c>
    </row>
    <row r="12" spans="1:26" x14ac:dyDescent="0.25">
      <c r="A12">
        <v>10</v>
      </c>
      <c r="B12" t="s">
        <v>22</v>
      </c>
      <c r="C12" t="s">
        <v>39</v>
      </c>
      <c r="D12" t="s">
        <v>24</v>
      </c>
      <c r="E12" t="s">
        <v>25</v>
      </c>
      <c r="F12">
        <v>25.799999999999901</v>
      </c>
      <c r="H12" t="s">
        <v>26</v>
      </c>
      <c r="I12">
        <v>50</v>
      </c>
      <c r="J12">
        <v>103.19999999999899</v>
      </c>
      <c r="M12">
        <v>0</v>
      </c>
      <c r="N12">
        <v>96.8</v>
      </c>
      <c r="O12">
        <v>0</v>
      </c>
      <c r="Q12">
        <v>5</v>
      </c>
      <c r="R12">
        <v>1</v>
      </c>
      <c r="S12">
        <v>3.9E-2</v>
      </c>
      <c r="T12">
        <v>229921</v>
      </c>
      <c r="U12">
        <v>293124</v>
      </c>
      <c r="V12">
        <v>0.78438135396623898</v>
      </c>
      <c r="W12">
        <f t="shared" si="0"/>
        <v>261522.5</v>
      </c>
      <c r="X12">
        <f t="shared" si="1"/>
        <v>10199.377500000001</v>
      </c>
      <c r="Y12">
        <f t="shared" si="2"/>
        <v>0.75211847650874497</v>
      </c>
      <c r="Z12">
        <f t="shared" si="3"/>
        <v>2.3666140332685475E-2</v>
      </c>
    </row>
    <row r="13" spans="1:26" x14ac:dyDescent="0.25">
      <c r="A13">
        <v>11</v>
      </c>
      <c r="B13" t="s">
        <v>22</v>
      </c>
      <c r="C13" t="s">
        <v>40</v>
      </c>
      <c r="D13" t="s">
        <v>24</v>
      </c>
      <c r="E13" t="s">
        <v>25</v>
      </c>
      <c r="G13">
        <v>1.2566666666666599</v>
      </c>
      <c r="J13">
        <v>0</v>
      </c>
      <c r="K13" t="s">
        <v>41</v>
      </c>
      <c r="L13">
        <v>1.5</v>
      </c>
      <c r="M13">
        <v>167.555555555555</v>
      </c>
      <c r="N13">
        <v>32.4444444444444</v>
      </c>
      <c r="O13">
        <v>0</v>
      </c>
      <c r="Q13">
        <v>5</v>
      </c>
      <c r="R13">
        <v>1</v>
      </c>
      <c r="S13">
        <v>3.85E-2</v>
      </c>
      <c r="T13">
        <v>221229</v>
      </c>
      <c r="U13">
        <v>251654</v>
      </c>
      <c r="V13">
        <v>0.87909987522550803</v>
      </c>
      <c r="W13">
        <f t="shared" si="0"/>
        <v>236441.5</v>
      </c>
      <c r="X13">
        <f t="shared" si="1"/>
        <v>9102.9977500000005</v>
      </c>
      <c r="Y13">
        <f t="shared" si="2"/>
        <v>0.67998746097732476</v>
      </c>
      <c r="Z13">
        <f t="shared" si="3"/>
        <v>2.1122153994164852E-2</v>
      </c>
    </row>
    <row r="14" spans="1:26" x14ac:dyDescent="0.25">
      <c r="A14">
        <v>12</v>
      </c>
      <c r="B14" t="s">
        <v>22</v>
      </c>
      <c r="C14" t="s">
        <v>42</v>
      </c>
      <c r="D14" t="s">
        <v>24</v>
      </c>
      <c r="E14" t="s">
        <v>25</v>
      </c>
      <c r="G14">
        <v>2.0321728479865802</v>
      </c>
      <c r="J14">
        <v>0</v>
      </c>
      <c r="K14" t="s">
        <v>43</v>
      </c>
      <c r="L14">
        <v>4</v>
      </c>
      <c r="M14">
        <v>101.608642399329</v>
      </c>
      <c r="N14">
        <v>98.391357600670801</v>
      </c>
      <c r="O14">
        <v>0</v>
      </c>
      <c r="Q14">
        <v>5</v>
      </c>
      <c r="R14">
        <v>1</v>
      </c>
      <c r="S14">
        <v>3.8699999999999998E-2</v>
      </c>
      <c r="T14">
        <v>189262</v>
      </c>
      <c r="U14">
        <v>213133</v>
      </c>
      <c r="V14">
        <v>0.88799951204177596</v>
      </c>
      <c r="W14">
        <f t="shared" si="0"/>
        <v>201197.5</v>
      </c>
      <c r="X14">
        <f t="shared" si="1"/>
        <v>7786.3432499999999</v>
      </c>
      <c r="Y14">
        <f t="shared" si="2"/>
        <v>0.57862844373760658</v>
      </c>
      <c r="Z14">
        <f t="shared" si="3"/>
        <v>1.806705282091562E-2</v>
      </c>
    </row>
    <row r="15" spans="1:26" x14ac:dyDescent="0.25">
      <c r="A15">
        <v>13</v>
      </c>
      <c r="B15" t="s">
        <v>22</v>
      </c>
      <c r="C15" t="s">
        <v>44</v>
      </c>
      <c r="D15" t="s">
        <v>24</v>
      </c>
      <c r="E15" t="s">
        <v>25</v>
      </c>
      <c r="G15">
        <v>2.8645805349065001</v>
      </c>
      <c r="J15">
        <v>0</v>
      </c>
      <c r="K15" t="s">
        <v>43</v>
      </c>
      <c r="L15">
        <v>4</v>
      </c>
      <c r="M15">
        <v>143.229026745325</v>
      </c>
      <c r="N15">
        <v>56.770973254674701</v>
      </c>
      <c r="O15">
        <v>0</v>
      </c>
      <c r="Q15">
        <v>5</v>
      </c>
      <c r="R15">
        <v>1</v>
      </c>
      <c r="S15">
        <v>3.7900000000000003E-2</v>
      </c>
      <c r="T15">
        <v>163974</v>
      </c>
      <c r="U15">
        <v>180892</v>
      </c>
      <c r="V15">
        <v>0.906474581518254</v>
      </c>
      <c r="W15">
        <f t="shared" si="0"/>
        <v>172433</v>
      </c>
      <c r="X15">
        <f t="shared" si="1"/>
        <v>6535.2107000000005</v>
      </c>
      <c r="Y15">
        <f t="shared" si="2"/>
        <v>0.49590396719147462</v>
      </c>
      <c r="Z15">
        <f t="shared" si="3"/>
        <v>1.516398559910815E-2</v>
      </c>
    </row>
    <row r="16" spans="1:26" x14ac:dyDescent="0.25">
      <c r="A16">
        <v>14</v>
      </c>
      <c r="B16" t="s">
        <v>22</v>
      </c>
      <c r="C16" t="s">
        <v>45</v>
      </c>
      <c r="D16" t="s">
        <v>24</v>
      </c>
      <c r="E16" t="s">
        <v>25</v>
      </c>
      <c r="G16">
        <v>3.5198266224746999</v>
      </c>
      <c r="J16">
        <v>0</v>
      </c>
      <c r="K16" t="s">
        <v>43</v>
      </c>
      <c r="L16">
        <v>4</v>
      </c>
      <c r="M16">
        <v>175.99133112373499</v>
      </c>
      <c r="N16">
        <v>24.0086688762647</v>
      </c>
      <c r="O16">
        <v>0</v>
      </c>
      <c r="Q16">
        <v>5</v>
      </c>
      <c r="R16">
        <v>1</v>
      </c>
      <c r="S16">
        <v>3.7900000000000003E-2</v>
      </c>
      <c r="T16">
        <v>150404</v>
      </c>
      <c r="U16">
        <v>166878</v>
      </c>
      <c r="V16">
        <v>0.90128117546950404</v>
      </c>
      <c r="W16">
        <f t="shared" si="0"/>
        <v>158641</v>
      </c>
      <c r="X16">
        <f t="shared" si="1"/>
        <v>6012.4939000000004</v>
      </c>
      <c r="Y16">
        <f t="shared" si="2"/>
        <v>0.45623924225190493</v>
      </c>
      <c r="Z16">
        <f t="shared" si="3"/>
        <v>1.3951098916263801E-2</v>
      </c>
    </row>
    <row r="17" spans="1:26" x14ac:dyDescent="0.25">
      <c r="A17">
        <v>15</v>
      </c>
      <c r="B17" t="s">
        <v>22</v>
      </c>
      <c r="C17" t="s">
        <v>46</v>
      </c>
      <c r="D17" t="s">
        <v>24</v>
      </c>
      <c r="E17" t="s">
        <v>25</v>
      </c>
      <c r="G17">
        <v>4.0379545711848799</v>
      </c>
      <c r="J17">
        <v>0</v>
      </c>
      <c r="K17" t="s">
        <v>47</v>
      </c>
      <c r="L17">
        <v>10</v>
      </c>
      <c r="M17">
        <v>80.759091423697697</v>
      </c>
      <c r="N17">
        <v>119.240908576302</v>
      </c>
      <c r="O17">
        <v>0</v>
      </c>
      <c r="Q17">
        <v>5</v>
      </c>
      <c r="R17">
        <v>1</v>
      </c>
      <c r="S17">
        <v>3.9199999999999999E-2</v>
      </c>
      <c r="T17">
        <v>137011</v>
      </c>
      <c r="U17">
        <v>152031</v>
      </c>
      <c r="V17">
        <v>0.90120435963717904</v>
      </c>
      <c r="W17">
        <f t="shared" si="0"/>
        <v>144521</v>
      </c>
      <c r="X17">
        <f t="shared" si="1"/>
        <v>5665.2231999999995</v>
      </c>
      <c r="Y17">
        <f t="shared" si="2"/>
        <v>0.41563121468906244</v>
      </c>
      <c r="Z17">
        <f t="shared" si="3"/>
        <v>1.3145308845288398E-2</v>
      </c>
    </row>
    <row r="18" spans="1:26" x14ac:dyDescent="0.25">
      <c r="A18">
        <v>16</v>
      </c>
      <c r="B18" t="s">
        <v>22</v>
      </c>
      <c r="C18" t="s">
        <v>48</v>
      </c>
      <c r="D18" t="s">
        <v>24</v>
      </c>
      <c r="E18" t="s">
        <v>25</v>
      </c>
      <c r="G18">
        <v>4.9615990288308902</v>
      </c>
      <c r="J18">
        <v>0</v>
      </c>
      <c r="K18" t="s">
        <v>47</v>
      </c>
      <c r="L18">
        <v>10</v>
      </c>
      <c r="M18">
        <v>99.2319805766179</v>
      </c>
      <c r="N18">
        <v>100.768019423382</v>
      </c>
      <c r="O18">
        <v>0</v>
      </c>
      <c r="Q18">
        <v>5</v>
      </c>
      <c r="R18">
        <v>1</v>
      </c>
      <c r="S18">
        <v>3.8100000000000002E-2</v>
      </c>
      <c r="T18">
        <v>155134</v>
      </c>
      <c r="U18">
        <v>181358</v>
      </c>
      <c r="V18">
        <v>0.855402022518995</v>
      </c>
      <c r="W18">
        <f t="shared" si="0"/>
        <v>168246</v>
      </c>
      <c r="X18">
        <f t="shared" si="1"/>
        <v>6410.1725999999999</v>
      </c>
      <c r="Y18">
        <f t="shared" si="2"/>
        <v>0.48386247913158642</v>
      </c>
      <c r="Z18">
        <f t="shared" si="3"/>
        <v>1.4873853262940342E-2</v>
      </c>
    </row>
    <row r="19" spans="1:26" x14ac:dyDescent="0.25">
      <c r="A19">
        <v>17</v>
      </c>
      <c r="B19" t="s">
        <v>22</v>
      </c>
      <c r="C19" t="s">
        <v>49</v>
      </c>
      <c r="D19" t="s">
        <v>24</v>
      </c>
      <c r="E19" t="s">
        <v>25</v>
      </c>
      <c r="G19">
        <v>6.99394247594722</v>
      </c>
      <c r="J19">
        <v>0</v>
      </c>
      <c r="K19" t="s">
        <v>47</v>
      </c>
      <c r="L19">
        <v>10</v>
      </c>
      <c r="M19">
        <v>139.87884951894401</v>
      </c>
      <c r="N19">
        <v>60.121150481055501</v>
      </c>
      <c r="O19">
        <v>0</v>
      </c>
      <c r="Q19">
        <v>5</v>
      </c>
      <c r="R19">
        <v>1</v>
      </c>
      <c r="S19">
        <v>3.8399999999999997E-2</v>
      </c>
      <c r="T19">
        <v>163958</v>
      </c>
      <c r="U19">
        <v>195980</v>
      </c>
      <c r="V19">
        <v>0.83660577609960196</v>
      </c>
      <c r="W19">
        <f t="shared" si="0"/>
        <v>179969</v>
      </c>
      <c r="X19">
        <f t="shared" si="1"/>
        <v>6910.8095999999996</v>
      </c>
      <c r="Y19">
        <f t="shared" si="2"/>
        <v>0.51757692014569423</v>
      </c>
      <c r="Z19">
        <f t="shared" si="3"/>
        <v>1.6035507049922407E-2</v>
      </c>
    </row>
    <row r="20" spans="1:26" x14ac:dyDescent="0.25">
      <c r="A20">
        <v>18</v>
      </c>
      <c r="B20" t="s">
        <v>22</v>
      </c>
      <c r="C20" t="s">
        <v>50</v>
      </c>
      <c r="D20" t="s">
        <v>24</v>
      </c>
      <c r="E20" t="s">
        <v>25</v>
      </c>
      <c r="G20">
        <v>11.31</v>
      </c>
      <c r="J20">
        <v>0</v>
      </c>
      <c r="K20" t="s">
        <v>28</v>
      </c>
      <c r="L20">
        <v>50</v>
      </c>
      <c r="M20">
        <v>45.24</v>
      </c>
      <c r="N20">
        <v>154.76</v>
      </c>
      <c r="O20">
        <v>0</v>
      </c>
      <c r="Q20">
        <v>5</v>
      </c>
      <c r="R20">
        <v>1</v>
      </c>
      <c r="S20">
        <v>3.8399999999999997E-2</v>
      </c>
      <c r="T20">
        <v>193824</v>
      </c>
      <c r="U20">
        <v>239685</v>
      </c>
      <c r="V20">
        <v>0.80866136804555899</v>
      </c>
      <c r="W20">
        <f t="shared" si="0"/>
        <v>216754.5</v>
      </c>
      <c r="X20">
        <f t="shared" si="1"/>
        <v>8323.3727999999992</v>
      </c>
      <c r="Y20">
        <f t="shared" si="2"/>
        <v>0.62336917212253151</v>
      </c>
      <c r="Z20">
        <f t="shared" si="3"/>
        <v>1.9313150113921877E-2</v>
      </c>
    </row>
    <row r="21" spans="1:26" x14ac:dyDescent="0.25">
      <c r="A21">
        <v>19</v>
      </c>
      <c r="B21" t="s">
        <v>51</v>
      </c>
      <c r="C21" t="s">
        <v>51</v>
      </c>
      <c r="D21" t="s">
        <v>24</v>
      </c>
      <c r="E21" t="s">
        <v>25</v>
      </c>
      <c r="F21">
        <v>0.01</v>
      </c>
      <c r="G21">
        <v>0.01</v>
      </c>
      <c r="H21" t="s">
        <v>52</v>
      </c>
      <c r="I21">
        <v>0.1</v>
      </c>
      <c r="J21">
        <v>20</v>
      </c>
      <c r="K21" t="s">
        <v>53</v>
      </c>
      <c r="L21">
        <v>0.1</v>
      </c>
      <c r="M21">
        <v>20</v>
      </c>
      <c r="N21">
        <v>160</v>
      </c>
      <c r="O21">
        <v>0</v>
      </c>
      <c r="Q21">
        <v>5</v>
      </c>
      <c r="R21">
        <v>1</v>
      </c>
      <c r="S21">
        <v>4.1300000000000003E-2</v>
      </c>
      <c r="T21">
        <v>235115</v>
      </c>
      <c r="U21">
        <v>267144</v>
      </c>
      <c r="V21">
        <v>0.88010586050968698</v>
      </c>
      <c r="W21">
        <f t="shared" si="0"/>
        <v>251129.5</v>
      </c>
      <c r="X21">
        <f t="shared" si="1"/>
        <v>10371.648350000001</v>
      </c>
      <c r="Y21">
        <f t="shared" si="2"/>
        <v>0.72222901259510319</v>
      </c>
      <c r="Z21">
        <f t="shared" si="3"/>
        <v>2.4065869248624808E-2</v>
      </c>
    </row>
    <row r="22" spans="1:26" x14ac:dyDescent="0.25">
      <c r="A22">
        <v>20</v>
      </c>
      <c r="B22" t="s">
        <v>51</v>
      </c>
      <c r="C22" t="s">
        <v>51</v>
      </c>
      <c r="D22" t="s">
        <v>24</v>
      </c>
      <c r="E22" t="s">
        <v>25</v>
      </c>
      <c r="F22">
        <v>0.01</v>
      </c>
      <c r="G22">
        <v>6.8872465399842903E-2</v>
      </c>
      <c r="H22" t="s">
        <v>52</v>
      </c>
      <c r="I22">
        <v>0.1</v>
      </c>
      <c r="J22">
        <v>20</v>
      </c>
      <c r="K22" t="s">
        <v>54</v>
      </c>
      <c r="L22">
        <v>0.7</v>
      </c>
      <c r="M22">
        <v>19.677847257097898</v>
      </c>
      <c r="N22">
        <v>160.32215274290201</v>
      </c>
      <c r="O22">
        <v>0</v>
      </c>
      <c r="Q22">
        <v>5</v>
      </c>
      <c r="R22">
        <v>1</v>
      </c>
      <c r="S22">
        <v>0.04</v>
      </c>
      <c r="T22">
        <v>227464</v>
      </c>
      <c r="U22">
        <v>257543</v>
      </c>
      <c r="V22">
        <v>0.88320785266926305</v>
      </c>
      <c r="W22">
        <f t="shared" si="0"/>
        <v>242503.5</v>
      </c>
      <c r="X22">
        <f t="shared" si="1"/>
        <v>9700.14</v>
      </c>
      <c r="Y22">
        <f t="shared" si="2"/>
        <v>0.69742130397208058</v>
      </c>
      <c r="Z22">
        <f t="shared" si="3"/>
        <v>2.2507733877552397E-2</v>
      </c>
    </row>
    <row r="23" spans="1:26" x14ac:dyDescent="0.25">
      <c r="A23">
        <v>21</v>
      </c>
      <c r="B23" t="s">
        <v>51</v>
      </c>
      <c r="C23" t="s">
        <v>51</v>
      </c>
      <c r="D23" t="s">
        <v>24</v>
      </c>
      <c r="E23" t="s">
        <v>25</v>
      </c>
      <c r="F23">
        <v>0.01</v>
      </c>
      <c r="G23">
        <v>0.474341649025257</v>
      </c>
      <c r="H23" t="s">
        <v>52</v>
      </c>
      <c r="I23">
        <v>0.1</v>
      </c>
      <c r="J23">
        <v>20</v>
      </c>
      <c r="K23" t="s">
        <v>43</v>
      </c>
      <c r="L23">
        <v>4</v>
      </c>
      <c r="M23">
        <v>23.717082451262801</v>
      </c>
      <c r="N23">
        <v>156.282917548737</v>
      </c>
      <c r="O23">
        <v>0</v>
      </c>
      <c r="Q23">
        <v>5</v>
      </c>
      <c r="R23">
        <v>1</v>
      </c>
      <c r="S23">
        <v>3.8899999999999997E-2</v>
      </c>
      <c r="T23">
        <v>220070</v>
      </c>
      <c r="U23">
        <v>248340</v>
      </c>
      <c r="V23">
        <v>0.88616412982201798</v>
      </c>
      <c r="W23">
        <f t="shared" si="0"/>
        <v>234205</v>
      </c>
      <c r="X23">
        <f t="shared" si="1"/>
        <v>9110.5744999999988</v>
      </c>
      <c r="Y23">
        <f t="shared" si="2"/>
        <v>0.67355546001101474</v>
      </c>
      <c r="Z23">
        <f t="shared" si="3"/>
        <v>2.113973471698501E-2</v>
      </c>
    </row>
    <row r="24" spans="1:26" x14ac:dyDescent="0.25">
      <c r="A24">
        <v>22</v>
      </c>
      <c r="B24" t="s">
        <v>51</v>
      </c>
      <c r="C24" t="s">
        <v>51</v>
      </c>
      <c r="D24" t="s">
        <v>24</v>
      </c>
      <c r="E24" t="s">
        <v>25</v>
      </c>
      <c r="F24">
        <v>0.01</v>
      </c>
      <c r="G24">
        <v>3.2669078810196401</v>
      </c>
      <c r="H24" t="s">
        <v>52</v>
      </c>
      <c r="I24">
        <v>0.1</v>
      </c>
      <c r="J24">
        <v>20</v>
      </c>
      <c r="K24" t="s">
        <v>28</v>
      </c>
      <c r="L24">
        <v>50</v>
      </c>
      <c r="M24">
        <v>13.0676315240785</v>
      </c>
      <c r="N24">
        <v>166.93236847592101</v>
      </c>
      <c r="O24">
        <v>0</v>
      </c>
      <c r="Q24">
        <v>5</v>
      </c>
      <c r="R24">
        <v>1</v>
      </c>
      <c r="S24">
        <v>3.85E-2</v>
      </c>
      <c r="T24">
        <v>140864</v>
      </c>
      <c r="U24">
        <v>152920</v>
      </c>
      <c r="V24">
        <v>0.92116139157729504</v>
      </c>
      <c r="W24">
        <f t="shared" si="0"/>
        <v>146892</v>
      </c>
      <c r="X24">
        <f t="shared" si="1"/>
        <v>5655.3419999999996</v>
      </c>
      <c r="Y24">
        <f t="shared" si="2"/>
        <v>0.42245002724936692</v>
      </c>
      <c r="Z24">
        <f t="shared" si="3"/>
        <v>1.3122380988577991E-2</v>
      </c>
    </row>
    <row r="25" spans="1:26" x14ac:dyDescent="0.25">
      <c r="A25">
        <v>23</v>
      </c>
      <c r="B25" t="s">
        <v>51</v>
      </c>
      <c r="C25" t="s">
        <v>51</v>
      </c>
      <c r="D25" t="s">
        <v>24</v>
      </c>
      <c r="E25" t="s">
        <v>25</v>
      </c>
      <c r="F25">
        <v>0.01</v>
      </c>
      <c r="G25">
        <v>22.5</v>
      </c>
      <c r="H25" t="s">
        <v>52</v>
      </c>
      <c r="I25">
        <v>0.1</v>
      </c>
      <c r="J25">
        <v>20</v>
      </c>
      <c r="K25" t="s">
        <v>28</v>
      </c>
      <c r="L25">
        <v>50</v>
      </c>
      <c r="M25">
        <v>90</v>
      </c>
      <c r="N25">
        <v>90</v>
      </c>
      <c r="O25">
        <v>0</v>
      </c>
      <c r="Q25">
        <v>5</v>
      </c>
      <c r="R25">
        <v>1</v>
      </c>
      <c r="S25">
        <v>4.1700000000000001E-2</v>
      </c>
      <c r="T25">
        <v>188886</v>
      </c>
      <c r="U25">
        <v>232444</v>
      </c>
      <c r="V25">
        <v>0.81260862831477598</v>
      </c>
      <c r="W25">
        <f t="shared" si="0"/>
        <v>210665</v>
      </c>
      <c r="X25">
        <f t="shared" si="1"/>
        <v>8784.7304999999997</v>
      </c>
      <c r="Y25">
        <f t="shared" si="2"/>
        <v>0.60585624125539772</v>
      </c>
      <c r="Z25">
        <f t="shared" si="3"/>
        <v>2.0383662120342368E-2</v>
      </c>
    </row>
    <row r="26" spans="1:26" x14ac:dyDescent="0.25">
      <c r="A26">
        <v>24</v>
      </c>
      <c r="B26" t="s">
        <v>51</v>
      </c>
      <c r="C26" t="s">
        <v>51</v>
      </c>
      <c r="D26" t="s">
        <v>24</v>
      </c>
      <c r="E26" t="s">
        <v>25</v>
      </c>
      <c r="F26">
        <v>6.8872465399842903E-2</v>
      </c>
      <c r="G26">
        <v>0.01</v>
      </c>
      <c r="H26" t="s">
        <v>55</v>
      </c>
      <c r="I26">
        <v>0.7</v>
      </c>
      <c r="J26">
        <v>19.677847257097898</v>
      </c>
      <c r="K26" t="s">
        <v>53</v>
      </c>
      <c r="L26">
        <v>0.1</v>
      </c>
      <c r="M26">
        <v>20</v>
      </c>
      <c r="N26">
        <v>160.32215274290201</v>
      </c>
      <c r="O26">
        <v>0</v>
      </c>
      <c r="Q26">
        <v>5</v>
      </c>
      <c r="R26">
        <v>1</v>
      </c>
      <c r="S26">
        <v>3.9100000000000003E-2</v>
      </c>
      <c r="T26">
        <v>230702</v>
      </c>
      <c r="U26">
        <v>260894</v>
      </c>
      <c r="V26">
        <v>0.88427483959002495</v>
      </c>
      <c r="W26">
        <f t="shared" si="0"/>
        <v>245798</v>
      </c>
      <c r="X26">
        <f t="shared" si="1"/>
        <v>9610.7018000000007</v>
      </c>
      <c r="Y26">
        <f t="shared" si="2"/>
        <v>0.70689603108297183</v>
      </c>
      <c r="Z26">
        <f t="shared" si="3"/>
        <v>2.2300205820834938E-2</v>
      </c>
    </row>
    <row r="27" spans="1:26" x14ac:dyDescent="0.25">
      <c r="A27">
        <v>25</v>
      </c>
      <c r="B27" t="s">
        <v>51</v>
      </c>
      <c r="C27" t="s">
        <v>51</v>
      </c>
      <c r="D27" t="s">
        <v>24</v>
      </c>
      <c r="E27" t="s">
        <v>25</v>
      </c>
      <c r="F27">
        <v>6.8872465399842903E-2</v>
      </c>
      <c r="G27">
        <v>6.8872465399842903E-2</v>
      </c>
      <c r="H27" t="s">
        <v>55</v>
      </c>
      <c r="I27">
        <v>0.7</v>
      </c>
      <c r="J27">
        <v>19.677847257097898</v>
      </c>
      <c r="K27" t="s">
        <v>54</v>
      </c>
      <c r="L27">
        <v>0.7</v>
      </c>
      <c r="M27">
        <v>19.677847257097898</v>
      </c>
      <c r="N27">
        <v>160.64430548580401</v>
      </c>
      <c r="O27">
        <v>0</v>
      </c>
      <c r="Q27">
        <v>5</v>
      </c>
      <c r="R27">
        <v>1</v>
      </c>
      <c r="S27">
        <v>8.0299999999999996E-2</v>
      </c>
      <c r="T27">
        <v>204678</v>
      </c>
      <c r="U27">
        <v>233874</v>
      </c>
      <c r="V27">
        <v>0.87516354960363196</v>
      </c>
      <c r="W27">
        <f t="shared" si="0"/>
        <v>219276</v>
      </c>
      <c r="X27">
        <f t="shared" si="1"/>
        <v>17607.862799999999</v>
      </c>
      <c r="Y27">
        <f t="shared" si="2"/>
        <v>0.63062081103894141</v>
      </c>
      <c r="Z27">
        <f t="shared" si="3"/>
        <v>4.0856429912852245E-2</v>
      </c>
    </row>
    <row r="28" spans="1:26" x14ac:dyDescent="0.25">
      <c r="A28">
        <v>26</v>
      </c>
      <c r="B28" t="s">
        <v>51</v>
      </c>
      <c r="C28" t="s">
        <v>51</v>
      </c>
      <c r="D28" t="s">
        <v>24</v>
      </c>
      <c r="E28" t="s">
        <v>25</v>
      </c>
      <c r="F28">
        <v>6.8872465399842903E-2</v>
      </c>
      <c r="G28">
        <v>0.474341649025257</v>
      </c>
      <c r="H28" t="s">
        <v>55</v>
      </c>
      <c r="I28">
        <v>0.7</v>
      </c>
      <c r="J28">
        <v>19.677847257097898</v>
      </c>
      <c r="K28" t="s">
        <v>43</v>
      </c>
      <c r="L28">
        <v>4</v>
      </c>
      <c r="M28">
        <v>23.717082451262801</v>
      </c>
      <c r="N28">
        <v>156.60507029163901</v>
      </c>
      <c r="O28">
        <v>0</v>
      </c>
      <c r="Q28">
        <v>5</v>
      </c>
      <c r="R28">
        <v>1</v>
      </c>
      <c r="S28">
        <v>4.3299999999999998E-2</v>
      </c>
      <c r="T28">
        <v>211483</v>
      </c>
      <c r="U28">
        <v>241276</v>
      </c>
      <c r="V28">
        <v>0.87651900727797205</v>
      </c>
      <c r="W28">
        <f t="shared" si="0"/>
        <v>226379.5</v>
      </c>
      <c r="X28">
        <f t="shared" si="1"/>
        <v>9802.2323500000002</v>
      </c>
      <c r="Y28">
        <f t="shared" si="2"/>
        <v>0.65104992745485157</v>
      </c>
      <c r="Z28">
        <f t="shared" si="3"/>
        <v>2.2744624009523064E-2</v>
      </c>
    </row>
    <row r="29" spans="1:26" x14ac:dyDescent="0.25">
      <c r="A29">
        <v>27</v>
      </c>
      <c r="B29" t="s">
        <v>51</v>
      </c>
      <c r="C29" t="s">
        <v>51</v>
      </c>
      <c r="D29" t="s">
        <v>24</v>
      </c>
      <c r="E29" t="s">
        <v>25</v>
      </c>
      <c r="F29">
        <v>6.8872465399842903E-2</v>
      </c>
      <c r="G29">
        <v>3.2669078810196401</v>
      </c>
      <c r="H29" t="s">
        <v>55</v>
      </c>
      <c r="I29">
        <v>0.7</v>
      </c>
      <c r="J29">
        <v>19.677847257097898</v>
      </c>
      <c r="K29" t="s">
        <v>28</v>
      </c>
      <c r="L29">
        <v>50</v>
      </c>
      <c r="M29">
        <v>13.0676315240785</v>
      </c>
      <c r="N29">
        <v>167.25452121882299</v>
      </c>
      <c r="O29">
        <v>0</v>
      </c>
      <c r="Q29">
        <v>5</v>
      </c>
      <c r="R29">
        <v>1</v>
      </c>
      <c r="S29">
        <v>4.0300000000000002E-2</v>
      </c>
      <c r="T29">
        <v>155298</v>
      </c>
      <c r="U29">
        <v>177094</v>
      </c>
      <c r="V29">
        <v>0.87692411939421999</v>
      </c>
      <c r="W29">
        <f t="shared" si="0"/>
        <v>166196</v>
      </c>
      <c r="X29">
        <f t="shared" si="1"/>
        <v>6697.6988000000001</v>
      </c>
      <c r="Y29">
        <f t="shared" si="2"/>
        <v>0.47796683773613124</v>
      </c>
      <c r="Z29">
        <f t="shared" si="3"/>
        <v>1.5541015096936957E-2</v>
      </c>
    </row>
    <row r="30" spans="1:26" x14ac:dyDescent="0.25">
      <c r="A30">
        <v>28</v>
      </c>
      <c r="B30" t="s">
        <v>51</v>
      </c>
      <c r="C30" t="s">
        <v>51</v>
      </c>
      <c r="D30" t="s">
        <v>24</v>
      </c>
      <c r="E30" t="s">
        <v>25</v>
      </c>
      <c r="F30">
        <v>6.8872465399842903E-2</v>
      </c>
      <c r="G30">
        <v>22.5</v>
      </c>
      <c r="H30" t="s">
        <v>55</v>
      </c>
      <c r="I30">
        <v>0.7</v>
      </c>
      <c r="J30">
        <v>19.677847257097898</v>
      </c>
      <c r="K30" t="s">
        <v>28</v>
      </c>
      <c r="L30">
        <v>50</v>
      </c>
      <c r="M30">
        <v>90</v>
      </c>
      <c r="N30">
        <v>90.322152742902006</v>
      </c>
      <c r="O30">
        <v>0</v>
      </c>
      <c r="Q30">
        <v>5</v>
      </c>
      <c r="R30">
        <v>1</v>
      </c>
      <c r="S30">
        <v>3.9199999999999999E-2</v>
      </c>
      <c r="T30">
        <v>180681</v>
      </c>
      <c r="U30">
        <v>220892</v>
      </c>
      <c r="V30">
        <v>0.81796081342918703</v>
      </c>
      <c r="W30">
        <f t="shared" si="0"/>
        <v>200786.5</v>
      </c>
      <c r="X30">
        <f t="shared" si="1"/>
        <v>7870.8307999999997</v>
      </c>
      <c r="Y30">
        <f t="shared" si="2"/>
        <v>0.57744643953588359</v>
      </c>
      <c r="Z30">
        <f t="shared" si="3"/>
        <v>1.8263093629745843E-2</v>
      </c>
    </row>
    <row r="31" spans="1:26" x14ac:dyDescent="0.25">
      <c r="A31">
        <v>29</v>
      </c>
      <c r="B31" t="s">
        <v>51</v>
      </c>
      <c r="C31" t="s">
        <v>51</v>
      </c>
      <c r="D31" t="s">
        <v>24</v>
      </c>
      <c r="E31" t="s">
        <v>25</v>
      </c>
      <c r="F31">
        <v>0.474341649025257</v>
      </c>
      <c r="G31">
        <v>0.01</v>
      </c>
      <c r="H31" t="s">
        <v>31</v>
      </c>
      <c r="I31">
        <v>4</v>
      </c>
      <c r="J31">
        <v>23.717082451262801</v>
      </c>
      <c r="K31" t="s">
        <v>53</v>
      </c>
      <c r="L31">
        <v>0.1</v>
      </c>
      <c r="M31">
        <v>20</v>
      </c>
      <c r="N31">
        <v>156.282917548737</v>
      </c>
      <c r="O31">
        <v>0</v>
      </c>
      <c r="Q31">
        <v>5</v>
      </c>
      <c r="R31">
        <v>1</v>
      </c>
      <c r="S31">
        <v>3.9600000000000003E-2</v>
      </c>
      <c r="T31">
        <v>225798</v>
      </c>
      <c r="U31">
        <v>257207</v>
      </c>
      <c r="V31">
        <v>0.87788434995937104</v>
      </c>
      <c r="W31">
        <f t="shared" si="0"/>
        <v>241502.5</v>
      </c>
      <c r="X31">
        <f t="shared" si="1"/>
        <v>9563.4990000000016</v>
      </c>
      <c r="Y31">
        <f t="shared" si="2"/>
        <v>0.69454250541751927</v>
      </c>
      <c r="Z31">
        <f t="shared" si="3"/>
        <v>2.219067873558923E-2</v>
      </c>
    </row>
    <row r="32" spans="1:26" x14ac:dyDescent="0.25">
      <c r="A32">
        <v>30</v>
      </c>
      <c r="B32" t="s">
        <v>51</v>
      </c>
      <c r="C32" t="s">
        <v>51</v>
      </c>
      <c r="D32" t="s">
        <v>24</v>
      </c>
      <c r="E32" t="s">
        <v>25</v>
      </c>
      <c r="F32">
        <v>0.474341649025257</v>
      </c>
      <c r="G32">
        <v>6.8872465399842903E-2</v>
      </c>
      <c r="H32" t="s">
        <v>31</v>
      </c>
      <c r="I32">
        <v>4</v>
      </c>
      <c r="J32">
        <v>23.717082451262801</v>
      </c>
      <c r="K32" t="s">
        <v>54</v>
      </c>
      <c r="L32">
        <v>0.7</v>
      </c>
      <c r="M32">
        <v>19.677847257097898</v>
      </c>
      <c r="N32">
        <v>156.60507029163901</v>
      </c>
      <c r="O32">
        <v>0</v>
      </c>
      <c r="Q32">
        <v>5</v>
      </c>
      <c r="R32">
        <v>1</v>
      </c>
      <c r="S32">
        <v>4.4699999999999997E-2</v>
      </c>
      <c r="T32">
        <v>228307</v>
      </c>
      <c r="U32">
        <v>262481</v>
      </c>
      <c r="V32">
        <v>0.86980390961631504</v>
      </c>
      <c r="W32">
        <f t="shared" si="0"/>
        <v>245394</v>
      </c>
      <c r="X32">
        <f t="shared" si="1"/>
        <v>10969.111799999999</v>
      </c>
      <c r="Y32">
        <f t="shared" si="2"/>
        <v>0.70573415833967235</v>
      </c>
      <c r="Z32">
        <f t="shared" si="3"/>
        <v>2.5452194428896874E-2</v>
      </c>
    </row>
    <row r="33" spans="1:26" x14ac:dyDescent="0.25">
      <c r="A33">
        <v>31</v>
      </c>
      <c r="B33" t="s">
        <v>51</v>
      </c>
      <c r="C33" t="s">
        <v>51</v>
      </c>
      <c r="D33" t="s">
        <v>24</v>
      </c>
      <c r="E33" t="s">
        <v>25</v>
      </c>
      <c r="F33">
        <v>0.474341649025257</v>
      </c>
      <c r="G33">
        <v>0.474341649025257</v>
      </c>
      <c r="H33" t="s">
        <v>31</v>
      </c>
      <c r="I33">
        <v>4</v>
      </c>
      <c r="J33">
        <v>23.717082451262801</v>
      </c>
      <c r="K33" t="s">
        <v>43</v>
      </c>
      <c r="L33">
        <v>4</v>
      </c>
      <c r="M33">
        <v>23.717082451262801</v>
      </c>
      <c r="N33">
        <v>152.56583509747401</v>
      </c>
      <c r="O33">
        <v>0</v>
      </c>
      <c r="Q33">
        <v>5</v>
      </c>
      <c r="R33">
        <v>1</v>
      </c>
      <c r="S33">
        <v>0.38890000000000002</v>
      </c>
      <c r="T33">
        <v>81780</v>
      </c>
      <c r="U33">
        <v>96734</v>
      </c>
      <c r="V33">
        <v>0.84541112742158897</v>
      </c>
      <c r="W33">
        <f t="shared" si="0"/>
        <v>89257</v>
      </c>
      <c r="X33">
        <f t="shared" si="1"/>
        <v>34712.047300000006</v>
      </c>
      <c r="Y33">
        <f t="shared" si="2"/>
        <v>0.25669622635811851</v>
      </c>
      <c r="Z33">
        <f t="shared" si="3"/>
        <v>8.0544149153869052E-2</v>
      </c>
    </row>
    <row r="34" spans="1:26" x14ac:dyDescent="0.25">
      <c r="A34">
        <v>32</v>
      </c>
      <c r="B34" t="s">
        <v>51</v>
      </c>
      <c r="C34" t="s">
        <v>51</v>
      </c>
      <c r="D34" t="s">
        <v>24</v>
      </c>
      <c r="E34" t="s">
        <v>25</v>
      </c>
      <c r="F34">
        <v>0.474341649025257</v>
      </c>
      <c r="G34">
        <v>3.2669078810196401</v>
      </c>
      <c r="H34" t="s">
        <v>31</v>
      </c>
      <c r="I34">
        <v>4</v>
      </c>
      <c r="J34">
        <v>23.717082451262801</v>
      </c>
      <c r="K34" t="s">
        <v>28</v>
      </c>
      <c r="L34">
        <v>50</v>
      </c>
      <c r="M34">
        <v>13.0676315240785</v>
      </c>
      <c r="N34">
        <v>163.21528602465801</v>
      </c>
      <c r="O34">
        <v>0</v>
      </c>
      <c r="Q34">
        <v>5</v>
      </c>
      <c r="R34">
        <v>1</v>
      </c>
      <c r="S34">
        <v>5.57E-2</v>
      </c>
      <c r="T34">
        <v>135850</v>
      </c>
      <c r="U34">
        <v>157577</v>
      </c>
      <c r="V34">
        <v>0.86211820252955695</v>
      </c>
      <c r="W34">
        <f t="shared" si="0"/>
        <v>146713.5</v>
      </c>
      <c r="X34">
        <f t="shared" si="1"/>
        <v>8171.9419500000004</v>
      </c>
      <c r="Y34">
        <f t="shared" si="2"/>
        <v>0.42193667505956756</v>
      </c>
      <c r="Z34">
        <f t="shared" si="3"/>
        <v>1.8961777322121807E-2</v>
      </c>
    </row>
    <row r="35" spans="1:26" x14ac:dyDescent="0.25">
      <c r="A35">
        <v>33</v>
      </c>
      <c r="B35" t="s">
        <v>51</v>
      </c>
      <c r="C35" t="s">
        <v>51</v>
      </c>
      <c r="D35" t="s">
        <v>24</v>
      </c>
      <c r="E35" t="s">
        <v>25</v>
      </c>
      <c r="F35">
        <v>0.474341649025257</v>
      </c>
      <c r="G35">
        <v>22.5</v>
      </c>
      <c r="H35" t="s">
        <v>31</v>
      </c>
      <c r="I35">
        <v>4</v>
      </c>
      <c r="J35">
        <v>23.717082451262801</v>
      </c>
      <c r="K35" t="s">
        <v>28</v>
      </c>
      <c r="L35">
        <v>50</v>
      </c>
      <c r="M35">
        <v>90</v>
      </c>
      <c r="N35">
        <v>86.282917548737103</v>
      </c>
      <c r="O35">
        <v>0</v>
      </c>
      <c r="Q35">
        <v>5</v>
      </c>
      <c r="R35">
        <v>1</v>
      </c>
      <c r="S35">
        <v>3.8300000000000001E-2</v>
      </c>
      <c r="T35">
        <v>203425</v>
      </c>
      <c r="U35">
        <v>253999</v>
      </c>
      <c r="V35">
        <v>0.800888979877873</v>
      </c>
      <c r="W35">
        <f t="shared" si="0"/>
        <v>228712</v>
      </c>
      <c r="X35">
        <f t="shared" si="1"/>
        <v>8759.6695999999993</v>
      </c>
      <c r="Y35">
        <f t="shared" si="2"/>
        <v>0.65775801699382686</v>
      </c>
      <c r="Z35">
        <f t="shared" si="3"/>
        <v>2.0325512024783752E-2</v>
      </c>
    </row>
    <row r="36" spans="1:26" x14ac:dyDescent="0.25">
      <c r="A36">
        <v>34</v>
      </c>
      <c r="B36" t="s">
        <v>51</v>
      </c>
      <c r="C36" t="s">
        <v>51</v>
      </c>
      <c r="D36" t="s">
        <v>24</v>
      </c>
      <c r="E36" t="s">
        <v>25</v>
      </c>
      <c r="F36">
        <v>3.2669078810196401</v>
      </c>
      <c r="G36">
        <v>0.01</v>
      </c>
      <c r="H36" t="s">
        <v>26</v>
      </c>
      <c r="I36">
        <v>50</v>
      </c>
      <c r="J36">
        <v>13.0676315240785</v>
      </c>
      <c r="K36" t="s">
        <v>53</v>
      </c>
      <c r="L36">
        <v>0.1</v>
      </c>
      <c r="M36">
        <v>20</v>
      </c>
      <c r="N36">
        <v>166.93236847592101</v>
      </c>
      <c r="O36">
        <v>0</v>
      </c>
      <c r="Q36">
        <v>5</v>
      </c>
      <c r="R36">
        <v>1</v>
      </c>
      <c r="S36">
        <v>3.8199999999999998E-2</v>
      </c>
      <c r="T36">
        <v>182530</v>
      </c>
      <c r="U36">
        <v>204893</v>
      </c>
      <c r="V36">
        <v>0.89085522687451502</v>
      </c>
      <c r="W36">
        <f t="shared" si="0"/>
        <v>193711.5</v>
      </c>
      <c r="X36">
        <f t="shared" si="1"/>
        <v>7399.7792999999992</v>
      </c>
      <c r="Y36">
        <f t="shared" si="2"/>
        <v>0.55709928691498345</v>
      </c>
      <c r="Z36">
        <f t="shared" si="3"/>
        <v>1.7170088600475968E-2</v>
      </c>
    </row>
    <row r="37" spans="1:26" x14ac:dyDescent="0.25">
      <c r="A37">
        <v>35</v>
      </c>
      <c r="B37" t="s">
        <v>51</v>
      </c>
      <c r="C37" t="s">
        <v>51</v>
      </c>
      <c r="D37" t="s">
        <v>24</v>
      </c>
      <c r="E37" t="s">
        <v>25</v>
      </c>
      <c r="F37">
        <v>3.2669078810196401</v>
      </c>
      <c r="G37">
        <v>6.8872465399842903E-2</v>
      </c>
      <c r="H37" t="s">
        <v>26</v>
      </c>
      <c r="I37">
        <v>50</v>
      </c>
      <c r="J37">
        <v>13.0676315240785</v>
      </c>
      <c r="K37" t="s">
        <v>54</v>
      </c>
      <c r="L37">
        <v>0.7</v>
      </c>
      <c r="M37">
        <v>19.677847257097898</v>
      </c>
      <c r="N37">
        <v>167.25452121882299</v>
      </c>
      <c r="O37">
        <v>0</v>
      </c>
      <c r="Q37">
        <v>5</v>
      </c>
      <c r="R37">
        <v>1</v>
      </c>
      <c r="S37">
        <v>4.0500000000000001E-2</v>
      </c>
      <c r="T37">
        <v>152541</v>
      </c>
      <c r="U37">
        <v>168402</v>
      </c>
      <c r="V37">
        <v>0.90581465778316095</v>
      </c>
      <c r="W37">
        <f t="shared" si="0"/>
        <v>160471.5</v>
      </c>
      <c r="X37">
        <f t="shared" si="1"/>
        <v>6499.0957500000004</v>
      </c>
      <c r="Y37">
        <f t="shared" si="2"/>
        <v>0.46150361862965161</v>
      </c>
      <c r="Z37">
        <f t="shared" si="3"/>
        <v>1.5080186222645427E-2</v>
      </c>
    </row>
    <row r="38" spans="1:26" x14ac:dyDescent="0.25">
      <c r="A38">
        <v>36</v>
      </c>
      <c r="B38" t="s">
        <v>51</v>
      </c>
      <c r="C38" t="s">
        <v>51</v>
      </c>
      <c r="D38" t="s">
        <v>24</v>
      </c>
      <c r="E38" t="s">
        <v>25</v>
      </c>
      <c r="F38">
        <v>3.2669078810196401</v>
      </c>
      <c r="G38">
        <v>0.474341649025257</v>
      </c>
      <c r="H38" t="s">
        <v>26</v>
      </c>
      <c r="I38">
        <v>50</v>
      </c>
      <c r="J38">
        <v>13.0676315240785</v>
      </c>
      <c r="K38" t="s">
        <v>43</v>
      </c>
      <c r="L38">
        <v>4</v>
      </c>
      <c r="M38">
        <v>23.717082451262801</v>
      </c>
      <c r="N38">
        <v>163.21528602465801</v>
      </c>
      <c r="O38">
        <v>0</v>
      </c>
      <c r="Q38">
        <v>5</v>
      </c>
      <c r="R38">
        <v>1</v>
      </c>
      <c r="S38">
        <v>9.8000000000000004E-2</v>
      </c>
      <c r="T38">
        <v>108829</v>
      </c>
      <c r="U38">
        <v>125410</v>
      </c>
      <c r="V38">
        <v>0.86778566302527704</v>
      </c>
      <c r="W38">
        <f t="shared" si="0"/>
        <v>117119.5</v>
      </c>
      <c r="X38">
        <f t="shared" si="1"/>
        <v>11477.711000000001</v>
      </c>
      <c r="Y38">
        <f t="shared" si="2"/>
        <v>0.33682662069025021</v>
      </c>
      <c r="Z38">
        <f t="shared" si="3"/>
        <v>2.663232331816405E-2</v>
      </c>
    </row>
    <row r="39" spans="1:26" x14ac:dyDescent="0.25">
      <c r="A39">
        <v>37</v>
      </c>
      <c r="B39" t="s">
        <v>51</v>
      </c>
      <c r="C39" t="s">
        <v>51</v>
      </c>
      <c r="D39" t="s">
        <v>24</v>
      </c>
      <c r="E39" t="s">
        <v>25</v>
      </c>
      <c r="F39">
        <v>3.2669078810196401</v>
      </c>
      <c r="G39">
        <v>3.2669078810196401</v>
      </c>
      <c r="H39" t="s">
        <v>26</v>
      </c>
      <c r="I39">
        <v>50</v>
      </c>
      <c r="J39">
        <v>13.0676315240785</v>
      </c>
      <c r="K39" t="s">
        <v>28</v>
      </c>
      <c r="L39">
        <v>50</v>
      </c>
      <c r="M39">
        <v>13.0676315240785</v>
      </c>
      <c r="N39">
        <v>173.86473695184199</v>
      </c>
      <c r="O39">
        <v>0</v>
      </c>
      <c r="Q39">
        <v>5</v>
      </c>
      <c r="R39">
        <v>1</v>
      </c>
      <c r="S39">
        <v>1.4387000000000001</v>
      </c>
      <c r="T39">
        <v>50192</v>
      </c>
      <c r="U39">
        <v>70509</v>
      </c>
      <c r="V39">
        <v>0.71185238763845704</v>
      </c>
      <c r="W39">
        <f t="shared" si="0"/>
        <v>60350.5</v>
      </c>
      <c r="X39">
        <f t="shared" si="1"/>
        <v>86826.264350000012</v>
      </c>
      <c r="Y39">
        <f t="shared" si="2"/>
        <v>0.1735633687982526</v>
      </c>
      <c r="Z39">
        <f t="shared" si="3"/>
        <v>0.20146744805454511</v>
      </c>
    </row>
    <row r="40" spans="1:26" x14ac:dyDescent="0.25">
      <c r="A40">
        <v>38</v>
      </c>
      <c r="B40" t="s">
        <v>51</v>
      </c>
      <c r="C40" t="s">
        <v>51</v>
      </c>
      <c r="D40" t="s">
        <v>24</v>
      </c>
      <c r="E40" t="s">
        <v>25</v>
      </c>
      <c r="F40">
        <v>3.2669078810196401</v>
      </c>
      <c r="G40">
        <v>22.5</v>
      </c>
      <c r="H40" t="s">
        <v>26</v>
      </c>
      <c r="I40">
        <v>50</v>
      </c>
      <c r="J40">
        <v>13.0676315240785</v>
      </c>
      <c r="K40" t="s">
        <v>28</v>
      </c>
      <c r="L40">
        <v>50</v>
      </c>
      <c r="M40">
        <v>90</v>
      </c>
      <c r="N40">
        <v>96.932368475921393</v>
      </c>
      <c r="O40">
        <v>0</v>
      </c>
      <c r="Q40">
        <v>5</v>
      </c>
      <c r="R40">
        <v>1</v>
      </c>
      <c r="S40">
        <v>0.99150000000000005</v>
      </c>
      <c r="T40">
        <v>37835</v>
      </c>
      <c r="U40">
        <v>49729</v>
      </c>
      <c r="V40">
        <v>0.76082366426029002</v>
      </c>
      <c r="W40">
        <f t="shared" si="0"/>
        <v>43782</v>
      </c>
      <c r="X40">
        <f t="shared" si="1"/>
        <v>43409.853000000003</v>
      </c>
      <c r="Y40">
        <f t="shared" si="2"/>
        <v>0.12591364467113106</v>
      </c>
      <c r="Z40">
        <f t="shared" si="3"/>
        <v>0.1007261151888189</v>
      </c>
    </row>
    <row r="41" spans="1:26" x14ac:dyDescent="0.25">
      <c r="A41">
        <v>39</v>
      </c>
      <c r="B41" t="s">
        <v>51</v>
      </c>
      <c r="C41" t="s">
        <v>51</v>
      </c>
      <c r="D41" t="s">
        <v>24</v>
      </c>
      <c r="E41" t="s">
        <v>25</v>
      </c>
      <c r="F41">
        <v>22.5</v>
      </c>
      <c r="G41">
        <v>0.01</v>
      </c>
      <c r="H41" t="s">
        <v>26</v>
      </c>
      <c r="I41">
        <v>50</v>
      </c>
      <c r="J41">
        <v>90</v>
      </c>
      <c r="K41" t="s">
        <v>53</v>
      </c>
      <c r="L41">
        <v>0.1</v>
      </c>
      <c r="M41">
        <v>20</v>
      </c>
      <c r="N41">
        <v>90</v>
      </c>
      <c r="O41">
        <v>0</v>
      </c>
      <c r="Q41">
        <v>5</v>
      </c>
      <c r="R41">
        <v>1</v>
      </c>
      <c r="S41">
        <v>3.8300000000000001E-2</v>
      </c>
      <c r="T41">
        <v>235705</v>
      </c>
      <c r="U41">
        <v>300491</v>
      </c>
      <c r="V41">
        <v>0.78439953276470797</v>
      </c>
      <c r="W41">
        <f t="shared" si="0"/>
        <v>268098</v>
      </c>
      <c r="X41">
        <f t="shared" si="1"/>
        <v>10268.153400000001</v>
      </c>
      <c r="Y41">
        <f t="shared" si="2"/>
        <v>0.77102910577499639</v>
      </c>
      <c r="Z41">
        <f t="shared" si="3"/>
        <v>2.3825724591715673E-2</v>
      </c>
    </row>
    <row r="42" spans="1:26" x14ac:dyDescent="0.25">
      <c r="A42">
        <v>40</v>
      </c>
      <c r="B42" t="s">
        <v>51</v>
      </c>
      <c r="C42" t="s">
        <v>51</v>
      </c>
      <c r="D42" t="s">
        <v>24</v>
      </c>
      <c r="E42" t="s">
        <v>25</v>
      </c>
      <c r="F42">
        <v>22.5</v>
      </c>
      <c r="G42">
        <v>6.8872465399842903E-2</v>
      </c>
      <c r="H42" t="s">
        <v>26</v>
      </c>
      <c r="I42">
        <v>50</v>
      </c>
      <c r="J42">
        <v>90</v>
      </c>
      <c r="K42" t="s">
        <v>54</v>
      </c>
      <c r="L42">
        <v>0.7</v>
      </c>
      <c r="M42">
        <v>19.677847257097898</v>
      </c>
      <c r="N42">
        <v>90.322152742902006</v>
      </c>
      <c r="O42">
        <v>0</v>
      </c>
      <c r="Q42">
        <v>5</v>
      </c>
      <c r="R42">
        <v>1</v>
      </c>
      <c r="S42">
        <v>3.7999999999999999E-2</v>
      </c>
      <c r="T42">
        <v>235385</v>
      </c>
      <c r="U42">
        <v>299430</v>
      </c>
      <c r="V42">
        <v>0.78611027619143004</v>
      </c>
      <c r="W42">
        <f t="shared" si="0"/>
        <v>267407.5</v>
      </c>
      <c r="X42">
        <f t="shared" si="1"/>
        <v>10161.485000000001</v>
      </c>
      <c r="Y42">
        <f t="shared" si="2"/>
        <v>0.7690432811976492</v>
      </c>
      <c r="Z42">
        <f t="shared" si="3"/>
        <v>2.3578216415509522E-2</v>
      </c>
    </row>
    <row r="43" spans="1:26" x14ac:dyDescent="0.25">
      <c r="A43">
        <v>41</v>
      </c>
      <c r="B43" t="s">
        <v>51</v>
      </c>
      <c r="C43" t="s">
        <v>51</v>
      </c>
      <c r="D43" t="s">
        <v>24</v>
      </c>
      <c r="E43" t="s">
        <v>25</v>
      </c>
      <c r="F43">
        <v>22.5</v>
      </c>
      <c r="G43">
        <v>0.474341649025257</v>
      </c>
      <c r="H43" t="s">
        <v>26</v>
      </c>
      <c r="I43">
        <v>50</v>
      </c>
      <c r="J43">
        <v>90</v>
      </c>
      <c r="K43" t="s">
        <v>43</v>
      </c>
      <c r="L43">
        <v>4</v>
      </c>
      <c r="M43">
        <v>23.717082451262801</v>
      </c>
      <c r="N43">
        <v>86.282917548737103</v>
      </c>
      <c r="O43">
        <v>0</v>
      </c>
      <c r="Q43">
        <v>5</v>
      </c>
      <c r="R43">
        <v>1</v>
      </c>
      <c r="S43">
        <v>3.9E-2</v>
      </c>
      <c r="T43">
        <v>242408</v>
      </c>
      <c r="U43">
        <v>309794</v>
      </c>
      <c r="V43">
        <v>0.78248126174167298</v>
      </c>
      <c r="W43">
        <f t="shared" si="0"/>
        <v>276101</v>
      </c>
      <c r="X43">
        <f t="shared" si="1"/>
        <v>10767.939</v>
      </c>
      <c r="Y43">
        <f t="shared" si="2"/>
        <v>0.79404511459832705</v>
      </c>
      <c r="Z43">
        <f t="shared" si="3"/>
        <v>2.4985402831476423E-2</v>
      </c>
    </row>
    <row r="44" spans="1:26" x14ac:dyDescent="0.25">
      <c r="A44">
        <v>42</v>
      </c>
      <c r="B44" t="s">
        <v>51</v>
      </c>
      <c r="C44" t="s">
        <v>51</v>
      </c>
      <c r="D44" t="s">
        <v>24</v>
      </c>
      <c r="E44" t="s">
        <v>25</v>
      </c>
      <c r="F44">
        <v>22.5</v>
      </c>
      <c r="G44">
        <v>3.2669078810196401</v>
      </c>
      <c r="H44" t="s">
        <v>26</v>
      </c>
      <c r="I44">
        <v>50</v>
      </c>
      <c r="J44">
        <v>90</v>
      </c>
      <c r="K44" t="s">
        <v>28</v>
      </c>
      <c r="L44">
        <v>50</v>
      </c>
      <c r="M44">
        <v>13.0676315240785</v>
      </c>
      <c r="N44">
        <v>96.932368475921393</v>
      </c>
      <c r="O44">
        <v>0</v>
      </c>
      <c r="Q44">
        <v>5</v>
      </c>
      <c r="R44">
        <v>1</v>
      </c>
      <c r="S44">
        <v>1.2509999999999999</v>
      </c>
      <c r="T44">
        <v>49457</v>
      </c>
      <c r="U44">
        <v>66096</v>
      </c>
      <c r="V44">
        <v>0.74826010651174002</v>
      </c>
      <c r="W44">
        <f t="shared" si="0"/>
        <v>57776.5</v>
      </c>
      <c r="X44">
        <f t="shared" si="1"/>
        <v>72278.401499999993</v>
      </c>
      <c r="Y44">
        <f t="shared" si="2"/>
        <v>0.16616074394366642</v>
      </c>
      <c r="Z44">
        <f t="shared" si="3"/>
        <v>0.16771129345111349</v>
      </c>
    </row>
    <row r="45" spans="1:26" x14ac:dyDescent="0.25">
      <c r="A45">
        <v>43</v>
      </c>
      <c r="B45" t="s">
        <v>51</v>
      </c>
      <c r="C45" t="s">
        <v>51</v>
      </c>
      <c r="D45" t="s">
        <v>24</v>
      </c>
      <c r="E45" t="s">
        <v>25</v>
      </c>
      <c r="F45">
        <v>22.5</v>
      </c>
      <c r="G45">
        <v>22.5</v>
      </c>
      <c r="H45" t="s">
        <v>26</v>
      </c>
      <c r="I45">
        <v>50</v>
      </c>
      <c r="J45">
        <v>90</v>
      </c>
      <c r="K45" t="s">
        <v>28</v>
      </c>
      <c r="L45">
        <v>50</v>
      </c>
      <c r="M45">
        <v>90</v>
      </c>
      <c r="N45">
        <v>20</v>
      </c>
      <c r="O45">
        <v>0</v>
      </c>
      <c r="Q45">
        <v>5</v>
      </c>
      <c r="R45">
        <v>1</v>
      </c>
      <c r="S45">
        <v>3.0392000000000001</v>
      </c>
      <c r="T45">
        <v>112093</v>
      </c>
      <c r="U45">
        <v>171514</v>
      </c>
      <c r="V45">
        <v>0.65355014750982399</v>
      </c>
      <c r="W45">
        <f t="shared" si="0"/>
        <v>141803.5</v>
      </c>
      <c r="X45">
        <f t="shared" si="1"/>
        <v>430969.1972</v>
      </c>
      <c r="Y45">
        <f t="shared" si="2"/>
        <v>0.40781589493679443</v>
      </c>
      <c r="Z45">
        <f t="shared" si="3"/>
        <v>1</v>
      </c>
    </row>
    <row r="46" spans="1:26" x14ac:dyDescent="0.25">
      <c r="A46">
        <v>44</v>
      </c>
      <c r="B46" t="s">
        <v>51</v>
      </c>
      <c r="C46" t="s">
        <v>51</v>
      </c>
      <c r="D46" t="s">
        <v>24</v>
      </c>
      <c r="E46" t="s">
        <v>25</v>
      </c>
      <c r="F46">
        <v>1.7170713638299899</v>
      </c>
      <c r="G46">
        <v>1.7170713638299899</v>
      </c>
      <c r="H46" t="s">
        <v>31</v>
      </c>
      <c r="I46">
        <v>4</v>
      </c>
      <c r="J46">
        <v>85.853568191499903</v>
      </c>
      <c r="K46" t="s">
        <v>43</v>
      </c>
      <c r="L46">
        <v>4</v>
      </c>
      <c r="M46">
        <v>85.853568191499903</v>
      </c>
      <c r="N46">
        <v>28.292863617000101</v>
      </c>
      <c r="O46">
        <v>0</v>
      </c>
      <c r="Q46">
        <v>5</v>
      </c>
      <c r="R46">
        <v>1</v>
      </c>
      <c r="S46">
        <v>0.26989999999999997</v>
      </c>
      <c r="T46">
        <v>59716</v>
      </c>
      <c r="U46">
        <v>74411</v>
      </c>
      <c r="V46">
        <v>0.80251575707892597</v>
      </c>
      <c r="W46">
        <f t="shared" si="0"/>
        <v>67063.5</v>
      </c>
      <c r="X46">
        <f t="shared" si="1"/>
        <v>18100.438649999996</v>
      </c>
      <c r="Y46">
        <f t="shared" si="2"/>
        <v>0.19286943742639437</v>
      </c>
      <c r="Z46">
        <f t="shared" si="3"/>
        <v>4.1999378998773595E-2</v>
      </c>
    </row>
    <row r="47" spans="1:26" x14ac:dyDescent="0.25">
      <c r="A47">
        <v>45</v>
      </c>
      <c r="B47" t="s">
        <v>51</v>
      </c>
      <c r="C47" t="s">
        <v>51</v>
      </c>
      <c r="D47" t="s">
        <v>24</v>
      </c>
      <c r="E47" t="s">
        <v>25</v>
      </c>
      <c r="F47">
        <v>1.7170713638299899</v>
      </c>
      <c r="G47">
        <v>6.2156339729889902</v>
      </c>
      <c r="H47" t="s">
        <v>31</v>
      </c>
      <c r="I47">
        <v>4</v>
      </c>
      <c r="J47">
        <v>85.853568191499903</v>
      </c>
      <c r="K47" t="s">
        <v>28</v>
      </c>
      <c r="L47">
        <v>50</v>
      </c>
      <c r="M47">
        <v>24.862535891955901</v>
      </c>
      <c r="N47">
        <v>89.283895916544097</v>
      </c>
      <c r="O47">
        <v>0</v>
      </c>
      <c r="Q47">
        <v>5</v>
      </c>
      <c r="R47">
        <v>1</v>
      </c>
      <c r="S47">
        <v>0.1741</v>
      </c>
      <c r="T47">
        <v>84057</v>
      </c>
      <c r="U47">
        <v>108689</v>
      </c>
      <c r="V47">
        <v>0.77337173034989704</v>
      </c>
      <c r="W47">
        <f t="shared" si="0"/>
        <v>96373</v>
      </c>
      <c r="X47">
        <f t="shared" si="1"/>
        <v>16778.5393</v>
      </c>
      <c r="Y47">
        <f t="shared" si="2"/>
        <v>0.27716129180692783</v>
      </c>
      <c r="Z47">
        <f t="shared" si="3"/>
        <v>3.8932107930241655E-2</v>
      </c>
    </row>
    <row r="48" spans="1:26" x14ac:dyDescent="0.25">
      <c r="A48">
        <v>46</v>
      </c>
      <c r="B48" t="s">
        <v>51</v>
      </c>
      <c r="C48" t="s">
        <v>51</v>
      </c>
      <c r="D48" t="s">
        <v>24</v>
      </c>
      <c r="E48" t="s">
        <v>25</v>
      </c>
      <c r="F48">
        <v>6.2156339729889902</v>
      </c>
      <c r="G48">
        <v>1.7170713638299899</v>
      </c>
      <c r="H48" t="s">
        <v>26</v>
      </c>
      <c r="I48">
        <v>50</v>
      </c>
      <c r="J48">
        <v>24.862535891955901</v>
      </c>
      <c r="K48" t="s">
        <v>43</v>
      </c>
      <c r="L48">
        <v>4</v>
      </c>
      <c r="M48">
        <v>85.853568191499903</v>
      </c>
      <c r="N48">
        <v>89.283895916544097</v>
      </c>
      <c r="O48">
        <v>0</v>
      </c>
      <c r="Q48">
        <v>5</v>
      </c>
      <c r="R48">
        <v>1</v>
      </c>
      <c r="S48">
        <v>0.11609999999999999</v>
      </c>
      <c r="T48">
        <v>103744</v>
      </c>
      <c r="U48">
        <v>137002</v>
      </c>
      <c r="V48">
        <v>0.75724441978949197</v>
      </c>
      <c r="W48">
        <f t="shared" si="0"/>
        <v>120373</v>
      </c>
      <c r="X48">
        <f t="shared" si="1"/>
        <v>13975.3053</v>
      </c>
      <c r="Y48">
        <f t="shared" si="2"/>
        <v>0.34618343497323234</v>
      </c>
      <c r="Z48">
        <f t="shared" si="3"/>
        <v>3.242761986424398E-2</v>
      </c>
    </row>
    <row r="49" spans="1:26" x14ac:dyDescent="0.25">
      <c r="A49">
        <v>47</v>
      </c>
      <c r="B49" t="s">
        <v>51</v>
      </c>
      <c r="C49" t="s">
        <v>51</v>
      </c>
      <c r="D49" t="s">
        <v>24</v>
      </c>
      <c r="E49" t="s">
        <v>25</v>
      </c>
      <c r="F49">
        <v>11.825893809444199</v>
      </c>
      <c r="G49">
        <v>11.825893809444199</v>
      </c>
      <c r="H49" t="s">
        <v>26</v>
      </c>
      <c r="I49">
        <v>50</v>
      </c>
      <c r="J49">
        <v>47.303575237776997</v>
      </c>
      <c r="K49" t="s">
        <v>28</v>
      </c>
      <c r="L49">
        <v>50</v>
      </c>
      <c r="M49">
        <v>47.303575237776997</v>
      </c>
      <c r="N49">
        <v>105.392849524445</v>
      </c>
      <c r="O49">
        <v>0</v>
      </c>
      <c r="Q49">
        <v>5</v>
      </c>
      <c r="R49">
        <v>1</v>
      </c>
      <c r="S49">
        <v>2.5286</v>
      </c>
      <c r="T49">
        <v>40817</v>
      </c>
      <c r="U49">
        <v>56558</v>
      </c>
      <c r="V49">
        <v>0.721683935075497</v>
      </c>
      <c r="W49">
        <f t="shared" si="0"/>
        <v>48687.5</v>
      </c>
      <c r="X49">
        <f t="shared" si="1"/>
        <v>123111.21249999999</v>
      </c>
      <c r="Y49">
        <f t="shared" si="2"/>
        <v>0.1400214831420605</v>
      </c>
      <c r="Z49">
        <f t="shared" si="3"/>
        <v>0.28566127997047486</v>
      </c>
    </row>
    <row r="50" spans="1:26" x14ac:dyDescent="0.25">
      <c r="A50">
        <v>48</v>
      </c>
      <c r="B50" t="s">
        <v>51</v>
      </c>
      <c r="C50" t="s">
        <v>51</v>
      </c>
      <c r="D50" t="s">
        <v>24</v>
      </c>
      <c r="E50" t="s">
        <v>25</v>
      </c>
      <c r="F50">
        <v>6.2156339729889902</v>
      </c>
      <c r="G50">
        <v>3.61990427650297E-2</v>
      </c>
      <c r="H50" t="s">
        <v>26</v>
      </c>
      <c r="I50">
        <v>50</v>
      </c>
      <c r="J50">
        <v>24.862535891955901</v>
      </c>
      <c r="K50" t="s">
        <v>53</v>
      </c>
      <c r="L50">
        <v>0.1</v>
      </c>
      <c r="M50">
        <v>72.398085530059305</v>
      </c>
      <c r="N50">
        <v>102.739378577984</v>
      </c>
      <c r="O50">
        <v>0</v>
      </c>
      <c r="Q50">
        <v>5</v>
      </c>
      <c r="R50">
        <v>1</v>
      </c>
      <c r="S50">
        <v>3.9399999999999998E-2</v>
      </c>
      <c r="T50">
        <v>162319</v>
      </c>
      <c r="U50">
        <v>185197</v>
      </c>
      <c r="V50">
        <v>0.87646668142572504</v>
      </c>
      <c r="W50">
        <f t="shared" si="0"/>
        <v>173758</v>
      </c>
      <c r="X50">
        <f t="shared" si="1"/>
        <v>6846.0652</v>
      </c>
      <c r="Y50">
        <f t="shared" si="2"/>
        <v>0.499714564678781</v>
      </c>
      <c r="Z50">
        <f t="shared" si="3"/>
        <v>1.5885277287747655E-2</v>
      </c>
    </row>
    <row r="51" spans="1:26" x14ac:dyDescent="0.25">
      <c r="A51">
        <v>49</v>
      </c>
      <c r="B51" t="s">
        <v>51</v>
      </c>
      <c r="C51" t="s">
        <v>51</v>
      </c>
      <c r="D51" t="s">
        <v>24</v>
      </c>
      <c r="E51" t="s">
        <v>25</v>
      </c>
      <c r="F51">
        <v>6.2156339729889902</v>
      </c>
      <c r="G51">
        <v>0.13103706971044399</v>
      </c>
      <c r="H51" t="s">
        <v>26</v>
      </c>
      <c r="I51">
        <v>50</v>
      </c>
      <c r="J51">
        <v>24.862535891955901</v>
      </c>
      <c r="K51" t="s">
        <v>56</v>
      </c>
      <c r="L51">
        <v>0.3</v>
      </c>
      <c r="M51">
        <v>87.358046473629898</v>
      </c>
      <c r="N51">
        <v>87.779417634414102</v>
      </c>
      <c r="O51">
        <v>0</v>
      </c>
      <c r="Q51">
        <v>5</v>
      </c>
      <c r="R51">
        <v>1</v>
      </c>
      <c r="S51">
        <v>3.8399999999999997E-2</v>
      </c>
      <c r="T51">
        <v>149223</v>
      </c>
      <c r="U51">
        <v>171044</v>
      </c>
      <c r="V51">
        <v>0.87242463927410496</v>
      </c>
      <c r="W51">
        <f t="shared" si="0"/>
        <v>160133.5</v>
      </c>
      <c r="X51">
        <f t="shared" si="1"/>
        <v>6149.1263999999992</v>
      </c>
      <c r="Y51">
        <f t="shared" si="2"/>
        <v>0.46053155678005953</v>
      </c>
      <c r="Z51">
        <f t="shared" si="3"/>
        <v>1.4268134335239676E-2</v>
      </c>
    </row>
    <row r="52" spans="1:26" x14ac:dyDescent="0.25">
      <c r="A52">
        <v>50</v>
      </c>
      <c r="B52" t="s">
        <v>51</v>
      </c>
      <c r="C52" t="s">
        <v>51</v>
      </c>
      <c r="D52" t="s">
        <v>24</v>
      </c>
      <c r="E52" t="s">
        <v>25</v>
      </c>
      <c r="F52">
        <v>0.24931173203419399</v>
      </c>
      <c r="G52">
        <v>0.24931173203419399</v>
      </c>
      <c r="H52" t="s">
        <v>55</v>
      </c>
      <c r="I52">
        <v>0.7</v>
      </c>
      <c r="J52">
        <v>71.231923438341198</v>
      </c>
      <c r="K52" t="s">
        <v>54</v>
      </c>
      <c r="L52">
        <v>0.7</v>
      </c>
      <c r="M52">
        <v>71.231923438341198</v>
      </c>
      <c r="N52">
        <v>57.536153123317398</v>
      </c>
      <c r="O52">
        <v>0</v>
      </c>
      <c r="Q52">
        <v>5</v>
      </c>
      <c r="R52">
        <v>1</v>
      </c>
      <c r="S52">
        <v>0.1646</v>
      </c>
      <c r="T52">
        <v>186549</v>
      </c>
      <c r="U52">
        <v>222987</v>
      </c>
      <c r="V52">
        <v>0.83659137079739998</v>
      </c>
      <c r="W52">
        <f t="shared" si="0"/>
        <v>204768</v>
      </c>
      <c r="X52">
        <f t="shared" si="1"/>
        <v>33704.8128</v>
      </c>
      <c r="Y52">
        <f t="shared" si="2"/>
        <v>0.58889692549491035</v>
      </c>
      <c r="Z52">
        <f t="shared" si="3"/>
        <v>7.8207011125109707E-2</v>
      </c>
    </row>
    <row r="53" spans="1:26" x14ac:dyDescent="0.25">
      <c r="A53">
        <v>51</v>
      </c>
      <c r="B53" t="s">
        <v>51</v>
      </c>
      <c r="C53" t="s">
        <v>51</v>
      </c>
      <c r="D53" t="s">
        <v>24</v>
      </c>
      <c r="E53" t="s">
        <v>25</v>
      </c>
      <c r="F53">
        <v>0.24931173203419399</v>
      </c>
      <c r="G53">
        <v>0.90248460497294203</v>
      </c>
      <c r="H53" t="s">
        <v>55</v>
      </c>
      <c r="I53">
        <v>0.7</v>
      </c>
      <c r="J53">
        <v>71.231923438341198</v>
      </c>
      <c r="K53" t="s">
        <v>43</v>
      </c>
      <c r="L53">
        <v>4</v>
      </c>
      <c r="M53">
        <v>45.124230248647102</v>
      </c>
      <c r="N53">
        <v>83.643846313011593</v>
      </c>
      <c r="O53">
        <v>0</v>
      </c>
      <c r="Q53">
        <v>5</v>
      </c>
      <c r="R53">
        <v>1</v>
      </c>
      <c r="S53">
        <v>5.5100000000000003E-2</v>
      </c>
      <c r="T53">
        <v>195021</v>
      </c>
      <c r="U53">
        <v>225776</v>
      </c>
      <c r="V53">
        <v>0.86378091559776005</v>
      </c>
      <c r="W53">
        <f t="shared" si="0"/>
        <v>210398.5</v>
      </c>
      <c r="X53">
        <f t="shared" si="1"/>
        <v>11592.957350000001</v>
      </c>
      <c r="Y53">
        <f t="shared" si="2"/>
        <v>0.60508980787398858</v>
      </c>
      <c r="Z53">
        <f t="shared" si="3"/>
        <v>2.6899735353058316E-2</v>
      </c>
    </row>
    <row r="54" spans="1:26" x14ac:dyDescent="0.25">
      <c r="A54">
        <v>52</v>
      </c>
      <c r="B54" t="s">
        <v>51</v>
      </c>
      <c r="C54" t="s">
        <v>51</v>
      </c>
      <c r="D54" t="s">
        <v>24</v>
      </c>
      <c r="E54" t="s">
        <v>25</v>
      </c>
      <c r="F54">
        <v>0.90248460497294203</v>
      </c>
      <c r="G54">
        <v>0.24931173203419399</v>
      </c>
      <c r="H54" t="s">
        <v>31</v>
      </c>
      <c r="I54">
        <v>4</v>
      </c>
      <c r="J54">
        <v>45.124230248647102</v>
      </c>
      <c r="K54" t="s">
        <v>54</v>
      </c>
      <c r="L54">
        <v>0.7</v>
      </c>
      <c r="M54">
        <v>71.231923438341198</v>
      </c>
      <c r="N54">
        <v>83.643846313011593</v>
      </c>
      <c r="O54">
        <v>0</v>
      </c>
      <c r="Q54">
        <v>5</v>
      </c>
      <c r="R54">
        <v>1</v>
      </c>
      <c r="S54">
        <v>5.16E-2</v>
      </c>
      <c r="T54">
        <v>206777</v>
      </c>
      <c r="U54">
        <v>238035</v>
      </c>
      <c r="V54">
        <v>0.86868317684374097</v>
      </c>
      <c r="W54">
        <f t="shared" si="0"/>
        <v>222406</v>
      </c>
      <c r="X54">
        <f t="shared" si="1"/>
        <v>11476.149600000001</v>
      </c>
      <c r="Y54">
        <f t="shared" si="2"/>
        <v>0.63962244887688036</v>
      </c>
      <c r="Z54">
        <f t="shared" si="3"/>
        <v>2.662870032141592E-2</v>
      </c>
    </row>
    <row r="55" spans="1:26" x14ac:dyDescent="0.25">
      <c r="A55">
        <v>53</v>
      </c>
      <c r="B55" t="s">
        <v>51</v>
      </c>
      <c r="C55" t="s">
        <v>51</v>
      </c>
      <c r="D55" t="s">
        <v>24</v>
      </c>
      <c r="E55" t="s">
        <v>25</v>
      </c>
      <c r="F55">
        <v>1.9026046033012101E-2</v>
      </c>
      <c r="G55">
        <v>11.825893809444199</v>
      </c>
      <c r="H55" t="s">
        <v>52</v>
      </c>
      <c r="I55">
        <v>0.1</v>
      </c>
      <c r="J55">
        <v>38.052092066024201</v>
      </c>
      <c r="K55" t="s">
        <v>28</v>
      </c>
      <c r="L55">
        <v>50</v>
      </c>
      <c r="M55">
        <v>47.303575237776997</v>
      </c>
      <c r="N55">
        <v>114.64433269619801</v>
      </c>
      <c r="O55">
        <v>0</v>
      </c>
      <c r="Q55">
        <v>5</v>
      </c>
      <c r="R55">
        <v>1</v>
      </c>
      <c r="S55">
        <v>3.8899999999999997E-2</v>
      </c>
      <c r="T55">
        <v>222172</v>
      </c>
      <c r="U55">
        <v>276970</v>
      </c>
      <c r="V55">
        <v>0.80215185760190599</v>
      </c>
      <c r="W55">
        <f t="shared" si="0"/>
        <v>249571</v>
      </c>
      <c r="X55">
        <f t="shared" si="1"/>
        <v>9708.3118999999988</v>
      </c>
      <c r="Y55">
        <f t="shared" si="2"/>
        <v>0.71774688717324131</v>
      </c>
      <c r="Z55">
        <f t="shared" si="3"/>
        <v>2.2526695557535774E-2</v>
      </c>
    </row>
    <row r="56" spans="1:26" x14ac:dyDescent="0.25">
      <c r="A56">
        <v>54</v>
      </c>
      <c r="B56" t="s">
        <v>51</v>
      </c>
      <c r="C56" t="s">
        <v>51</v>
      </c>
      <c r="D56" t="s">
        <v>24</v>
      </c>
      <c r="E56" t="s">
        <v>25</v>
      </c>
      <c r="F56">
        <v>0.24931173203419399</v>
      </c>
      <c r="G56">
        <v>11.825893809444199</v>
      </c>
      <c r="H56" t="s">
        <v>55</v>
      </c>
      <c r="I56">
        <v>0.7</v>
      </c>
      <c r="J56">
        <v>71.231923438341198</v>
      </c>
      <c r="K56" t="s">
        <v>28</v>
      </c>
      <c r="L56">
        <v>50</v>
      </c>
      <c r="M56">
        <v>47.303575237776997</v>
      </c>
      <c r="N56">
        <v>81.464501323881606</v>
      </c>
      <c r="O56">
        <v>0</v>
      </c>
      <c r="Q56">
        <v>5</v>
      </c>
      <c r="R56">
        <v>1</v>
      </c>
      <c r="S56">
        <v>3.85E-2</v>
      </c>
      <c r="T56">
        <v>194053</v>
      </c>
      <c r="U56">
        <v>238784</v>
      </c>
      <c r="V56">
        <v>0.81267170329670302</v>
      </c>
      <c r="W56">
        <f t="shared" si="0"/>
        <v>216418.5</v>
      </c>
      <c r="X56">
        <f t="shared" si="1"/>
        <v>8332.1122500000001</v>
      </c>
      <c r="Y56">
        <f t="shared" si="2"/>
        <v>0.62240286211820328</v>
      </c>
      <c r="Z56">
        <f t="shared" si="3"/>
        <v>1.933342870936856E-2</v>
      </c>
    </row>
    <row r="57" spans="1:26" x14ac:dyDescent="0.25">
      <c r="A57">
        <v>55</v>
      </c>
      <c r="B57" t="s">
        <v>51</v>
      </c>
      <c r="C57" t="s">
        <v>51</v>
      </c>
      <c r="D57" t="s">
        <v>24</v>
      </c>
      <c r="E57" t="s">
        <v>25</v>
      </c>
      <c r="F57">
        <v>3.61990427650297E-2</v>
      </c>
      <c r="G57">
        <v>1.7170713638299899</v>
      </c>
      <c r="H57" t="s">
        <v>52</v>
      </c>
      <c r="I57">
        <v>0.1</v>
      </c>
      <c r="J57">
        <v>72.398085530059305</v>
      </c>
      <c r="K57" t="s">
        <v>43</v>
      </c>
      <c r="L57">
        <v>4</v>
      </c>
      <c r="M57">
        <v>85.853568191499903</v>
      </c>
      <c r="N57">
        <v>41.7483462784406</v>
      </c>
      <c r="O57">
        <v>0</v>
      </c>
      <c r="Q57">
        <v>5</v>
      </c>
      <c r="R57">
        <v>1</v>
      </c>
      <c r="S57">
        <v>3.8100000000000002E-2</v>
      </c>
      <c r="T57">
        <v>195325</v>
      </c>
      <c r="U57">
        <v>220906</v>
      </c>
      <c r="V57">
        <v>0.88419961431559102</v>
      </c>
      <c r="W57">
        <f t="shared" si="0"/>
        <v>208115.5</v>
      </c>
      <c r="X57">
        <f t="shared" si="1"/>
        <v>7929.2005500000005</v>
      </c>
      <c r="Y57">
        <f t="shared" si="2"/>
        <v>0.59852407650529382</v>
      </c>
      <c r="Z57">
        <f t="shared" si="3"/>
        <v>1.8398531963573939E-2</v>
      </c>
    </row>
    <row r="58" spans="1:26" x14ac:dyDescent="0.25">
      <c r="A58">
        <v>56</v>
      </c>
      <c r="B58" t="s">
        <v>51</v>
      </c>
      <c r="C58" t="s">
        <v>51</v>
      </c>
      <c r="D58" t="s">
        <v>24</v>
      </c>
      <c r="E58" t="s">
        <v>25</v>
      </c>
      <c r="F58">
        <v>3.61990427650297E-2</v>
      </c>
      <c r="G58">
        <v>3.61990427650297E-2</v>
      </c>
      <c r="H58" t="s">
        <v>52</v>
      </c>
      <c r="I58">
        <v>0.1</v>
      </c>
      <c r="J58">
        <v>72.398085530059305</v>
      </c>
      <c r="K58" t="s">
        <v>53</v>
      </c>
      <c r="L58">
        <v>0.1</v>
      </c>
      <c r="M58">
        <v>72.398085530059305</v>
      </c>
      <c r="N58">
        <v>55.203828939881198</v>
      </c>
      <c r="O58">
        <v>0</v>
      </c>
      <c r="Q58">
        <v>5</v>
      </c>
      <c r="R58">
        <v>1</v>
      </c>
      <c r="S58">
        <v>5.2900000000000003E-2</v>
      </c>
      <c r="T58">
        <v>239980</v>
      </c>
      <c r="U58">
        <v>275205</v>
      </c>
      <c r="V58">
        <v>0.87200450573208999</v>
      </c>
      <c r="W58">
        <f t="shared" si="0"/>
        <v>257592.5</v>
      </c>
      <c r="X58">
        <f t="shared" si="1"/>
        <v>13626.643250000001</v>
      </c>
      <c r="Y58">
        <f t="shared" si="2"/>
        <v>0.74081610056526259</v>
      </c>
      <c r="Z58">
        <f t="shared" si="3"/>
        <v>3.161860137228388E-2</v>
      </c>
    </row>
    <row r="59" spans="1:26" x14ac:dyDescent="0.25">
      <c r="A59">
        <v>57</v>
      </c>
      <c r="B59" t="s">
        <v>51</v>
      </c>
      <c r="C59" t="s">
        <v>51</v>
      </c>
      <c r="D59" t="s">
        <v>24</v>
      </c>
      <c r="E59" t="s">
        <v>25</v>
      </c>
      <c r="F59">
        <v>0.13103706971044399</v>
      </c>
      <c r="G59">
        <v>3.61990427650297E-2</v>
      </c>
      <c r="H59" t="s">
        <v>57</v>
      </c>
      <c r="I59">
        <v>0.3</v>
      </c>
      <c r="J59">
        <v>87.358046473629898</v>
      </c>
      <c r="K59" t="s">
        <v>53</v>
      </c>
      <c r="L59">
        <v>0.1</v>
      </c>
      <c r="M59">
        <v>72.398085530059305</v>
      </c>
      <c r="N59">
        <v>40.243867996310698</v>
      </c>
      <c r="O59">
        <v>0</v>
      </c>
      <c r="Q59">
        <v>5</v>
      </c>
      <c r="R59">
        <v>1</v>
      </c>
      <c r="S59">
        <v>3.9899999999999998E-2</v>
      </c>
      <c r="T59">
        <v>243563</v>
      </c>
      <c r="U59">
        <v>277800</v>
      </c>
      <c r="V59">
        <v>0.87675665946724202</v>
      </c>
      <c r="W59">
        <f t="shared" si="0"/>
        <v>260681.5</v>
      </c>
      <c r="X59">
        <f t="shared" si="1"/>
        <v>10401.191849999999</v>
      </c>
      <c r="Y59">
        <f t="shared" si="2"/>
        <v>0.74969982557529236</v>
      </c>
      <c r="Z59">
        <f t="shared" si="3"/>
        <v>2.4134420551576254E-2</v>
      </c>
    </row>
    <row r="60" spans="1:26" x14ac:dyDescent="0.25">
      <c r="A60">
        <v>58</v>
      </c>
      <c r="B60" t="s">
        <v>51</v>
      </c>
      <c r="C60" t="s">
        <v>51</v>
      </c>
      <c r="D60" t="s">
        <v>24</v>
      </c>
      <c r="E60" t="s">
        <v>25</v>
      </c>
      <c r="F60">
        <v>14.653796495867301</v>
      </c>
      <c r="G60">
        <v>1.3857094042228399</v>
      </c>
      <c r="H60" t="s">
        <v>26</v>
      </c>
      <c r="I60">
        <v>50</v>
      </c>
      <c r="J60">
        <v>58.615185983469303</v>
      </c>
      <c r="K60" t="s">
        <v>43</v>
      </c>
      <c r="L60">
        <v>4</v>
      </c>
      <c r="M60">
        <v>69.285470211142396</v>
      </c>
      <c r="N60">
        <v>72.099343805388102</v>
      </c>
      <c r="O60">
        <v>0</v>
      </c>
      <c r="Q60">
        <v>5</v>
      </c>
      <c r="R60">
        <v>1</v>
      </c>
      <c r="S60">
        <v>0.05</v>
      </c>
      <c r="T60">
        <v>235706</v>
      </c>
      <c r="U60">
        <v>307913</v>
      </c>
      <c r="V60">
        <v>0.76549544838964201</v>
      </c>
      <c r="W60">
        <f t="shared" si="0"/>
        <v>271809.5</v>
      </c>
      <c r="X60">
        <f t="shared" si="1"/>
        <v>13590.475</v>
      </c>
      <c r="Y60">
        <f t="shared" si="2"/>
        <v>0.78170309262340221</v>
      </c>
      <c r="Z60">
        <f t="shared" si="3"/>
        <v>3.1534678321089069E-2</v>
      </c>
    </row>
    <row r="61" spans="1:26" x14ac:dyDescent="0.25">
      <c r="A61">
        <v>59</v>
      </c>
      <c r="B61" t="s">
        <v>51</v>
      </c>
      <c r="C61" t="s">
        <v>51</v>
      </c>
      <c r="D61" t="s">
        <v>24</v>
      </c>
      <c r="E61" t="s">
        <v>25</v>
      </c>
      <c r="F61">
        <v>1.3857094042228399</v>
      </c>
      <c r="G61">
        <v>14.653796495867301</v>
      </c>
      <c r="H61" t="s">
        <v>31</v>
      </c>
      <c r="I61">
        <v>4</v>
      </c>
      <c r="J61">
        <v>69.285470211142396</v>
      </c>
      <c r="K61" t="s">
        <v>28</v>
      </c>
      <c r="L61">
        <v>50</v>
      </c>
      <c r="M61">
        <v>58.615185983469303</v>
      </c>
      <c r="N61">
        <v>72.099343805388102</v>
      </c>
      <c r="O61">
        <v>0</v>
      </c>
      <c r="Q61">
        <v>5</v>
      </c>
      <c r="R61">
        <v>1</v>
      </c>
      <c r="S61">
        <v>6.6900000000000001E-2</v>
      </c>
      <c r="T61">
        <v>201842</v>
      </c>
      <c r="U61">
        <v>257464</v>
      </c>
      <c r="V61">
        <v>0.78396202964297901</v>
      </c>
      <c r="W61">
        <f t="shared" si="0"/>
        <v>229653</v>
      </c>
      <c r="X61">
        <f t="shared" si="1"/>
        <v>15363.7857</v>
      </c>
      <c r="Y61">
        <f t="shared" si="2"/>
        <v>0.66046426019047233</v>
      </c>
      <c r="Z61">
        <f t="shared" si="3"/>
        <v>3.5649382368434381E-2</v>
      </c>
    </row>
    <row r="62" spans="1:26" x14ac:dyDescent="0.25">
      <c r="A62">
        <v>60</v>
      </c>
      <c r="B62" t="s">
        <v>51</v>
      </c>
      <c r="C62" t="s">
        <v>51</v>
      </c>
      <c r="D62" t="s">
        <v>24</v>
      </c>
      <c r="E62" t="s">
        <v>25</v>
      </c>
      <c r="F62">
        <v>7.7019662784592802</v>
      </c>
      <c r="G62">
        <v>0.72832232289278598</v>
      </c>
      <c r="H62" t="s">
        <v>26</v>
      </c>
      <c r="I62">
        <v>50</v>
      </c>
      <c r="J62">
        <v>30.807865113837099</v>
      </c>
      <c r="K62" t="s">
        <v>43</v>
      </c>
      <c r="L62">
        <v>4</v>
      </c>
      <c r="M62">
        <v>36.416116144639297</v>
      </c>
      <c r="N62">
        <v>132.77601874152299</v>
      </c>
      <c r="O62">
        <v>0</v>
      </c>
      <c r="Q62">
        <v>5</v>
      </c>
      <c r="R62">
        <v>1</v>
      </c>
      <c r="S62">
        <v>8.2199999999999995E-2</v>
      </c>
      <c r="T62">
        <v>119255</v>
      </c>
      <c r="U62">
        <v>144783</v>
      </c>
      <c r="V62">
        <v>0.82368095701843402</v>
      </c>
      <c r="W62">
        <f t="shared" si="0"/>
        <v>132019</v>
      </c>
      <c r="X62">
        <f t="shared" si="1"/>
        <v>10851.961799999999</v>
      </c>
      <c r="Y62">
        <f t="shared" si="2"/>
        <v>0.37967642994468165</v>
      </c>
      <c r="Z62">
        <f t="shared" si="3"/>
        <v>2.5180365256972009E-2</v>
      </c>
    </row>
    <row r="63" spans="1:26" x14ac:dyDescent="0.25">
      <c r="A63">
        <v>61</v>
      </c>
      <c r="B63" t="s">
        <v>51</v>
      </c>
      <c r="C63" t="s">
        <v>51</v>
      </c>
      <c r="D63" t="s">
        <v>24</v>
      </c>
      <c r="E63" t="s">
        <v>25</v>
      </c>
      <c r="F63">
        <v>7.7019662784592802</v>
      </c>
      <c r="G63">
        <v>1.5354382740571999E-2</v>
      </c>
      <c r="H63" t="s">
        <v>26</v>
      </c>
      <c r="I63">
        <v>50</v>
      </c>
      <c r="J63">
        <v>30.807865113837099</v>
      </c>
      <c r="K63" t="s">
        <v>53</v>
      </c>
      <c r="L63">
        <v>0.1</v>
      </c>
      <c r="M63">
        <v>30.708765481143999</v>
      </c>
      <c r="N63">
        <v>138.48336940501801</v>
      </c>
      <c r="O63">
        <v>0</v>
      </c>
      <c r="Q63">
        <v>5</v>
      </c>
      <c r="R63">
        <v>1</v>
      </c>
      <c r="S63">
        <v>3.85E-2</v>
      </c>
      <c r="T63">
        <v>208046</v>
      </c>
      <c r="U63">
        <v>242077</v>
      </c>
      <c r="V63">
        <v>0.85942076281513702</v>
      </c>
      <c r="W63">
        <f t="shared" si="0"/>
        <v>225061.5</v>
      </c>
      <c r="X63">
        <f t="shared" si="1"/>
        <v>8664.8677499999994</v>
      </c>
      <c r="Y63">
        <f t="shared" si="2"/>
        <v>0.64725946142596869</v>
      </c>
      <c r="Z63">
        <f t="shared" si="3"/>
        <v>2.0105538415031765E-2</v>
      </c>
    </row>
    <row r="64" spans="1:26" x14ac:dyDescent="0.25">
      <c r="A64">
        <v>62</v>
      </c>
      <c r="B64" t="s">
        <v>51</v>
      </c>
      <c r="C64" t="s">
        <v>51</v>
      </c>
      <c r="D64" t="s">
        <v>24</v>
      </c>
      <c r="E64" t="s">
        <v>25</v>
      </c>
      <c r="F64">
        <v>1.9026046033012101E-2</v>
      </c>
      <c r="G64">
        <v>4.0481171259102302</v>
      </c>
      <c r="H64" t="s">
        <v>52</v>
      </c>
      <c r="I64">
        <v>0.1</v>
      </c>
      <c r="J64">
        <v>38.052092066024201</v>
      </c>
      <c r="K64" t="s">
        <v>47</v>
      </c>
      <c r="L64">
        <v>10</v>
      </c>
      <c r="M64">
        <v>80.962342518204593</v>
      </c>
      <c r="N64">
        <v>80.985565415771106</v>
      </c>
      <c r="O64">
        <v>0</v>
      </c>
      <c r="Q64">
        <v>5</v>
      </c>
      <c r="R64">
        <v>1</v>
      </c>
      <c r="S64">
        <v>3.8899999999999997E-2</v>
      </c>
      <c r="T64">
        <v>166902</v>
      </c>
      <c r="U64">
        <v>187006</v>
      </c>
      <c r="V64">
        <v>0.89249542795418302</v>
      </c>
      <c r="W64">
        <f t="shared" si="0"/>
        <v>176954</v>
      </c>
      <c r="X64">
        <f t="shared" si="1"/>
        <v>6883.5105999999996</v>
      </c>
      <c r="Y64">
        <f t="shared" si="2"/>
        <v>0.50890601341042718</v>
      </c>
      <c r="Z64">
        <f t="shared" si="3"/>
        <v>1.5972163775792001E-2</v>
      </c>
    </row>
    <row r="65" spans="1:26" x14ac:dyDescent="0.25">
      <c r="A65">
        <v>63</v>
      </c>
      <c r="B65" t="s">
        <v>51</v>
      </c>
      <c r="C65" t="s">
        <v>51</v>
      </c>
      <c r="D65" t="s">
        <v>24</v>
      </c>
      <c r="E65" t="s">
        <v>25</v>
      </c>
      <c r="F65">
        <v>9.5437222996575102</v>
      </c>
      <c r="G65">
        <v>18.157929979956801</v>
      </c>
      <c r="H65" t="s">
        <v>26</v>
      </c>
      <c r="I65">
        <v>50</v>
      </c>
      <c r="J65">
        <v>38.174889198629998</v>
      </c>
      <c r="K65" t="s">
        <v>28</v>
      </c>
      <c r="L65">
        <v>50</v>
      </c>
      <c r="M65">
        <v>72.631719919827304</v>
      </c>
      <c r="N65">
        <v>89.193390881542598</v>
      </c>
      <c r="O65">
        <v>0</v>
      </c>
      <c r="Q65">
        <v>5</v>
      </c>
      <c r="R65">
        <v>1</v>
      </c>
      <c r="S65">
        <v>2.4087000000000001</v>
      </c>
      <c r="T65">
        <v>27701</v>
      </c>
      <c r="U65">
        <v>36530</v>
      </c>
      <c r="V65">
        <v>0.75830823980290096</v>
      </c>
      <c r="W65">
        <f t="shared" si="0"/>
        <v>32115.5</v>
      </c>
      <c r="X65">
        <f t="shared" si="1"/>
        <v>77356.604850000003</v>
      </c>
      <c r="Y65">
        <f t="shared" si="2"/>
        <v>9.2361693285727228E-2</v>
      </c>
      <c r="Z65">
        <f t="shared" si="3"/>
        <v>0.17949450993849358</v>
      </c>
    </row>
    <row r="66" spans="1:26" x14ac:dyDescent="0.25">
      <c r="A66">
        <v>64</v>
      </c>
      <c r="B66" t="s">
        <v>51</v>
      </c>
      <c r="C66" t="s">
        <v>51</v>
      </c>
      <c r="D66" t="s">
        <v>24</v>
      </c>
      <c r="E66" t="s">
        <v>25</v>
      </c>
      <c r="F66">
        <v>0.72832232289278598</v>
      </c>
      <c r="G66">
        <v>1.3857094042228399</v>
      </c>
      <c r="H66" t="s">
        <v>31</v>
      </c>
      <c r="I66">
        <v>4</v>
      </c>
      <c r="J66">
        <v>36.416116144639297</v>
      </c>
      <c r="K66" t="s">
        <v>43</v>
      </c>
      <c r="L66">
        <v>4</v>
      </c>
      <c r="M66">
        <v>69.285470211142396</v>
      </c>
      <c r="N66">
        <v>94.298413644218201</v>
      </c>
      <c r="O66">
        <v>0</v>
      </c>
      <c r="Q66">
        <v>5</v>
      </c>
      <c r="R66">
        <v>1</v>
      </c>
      <c r="S66">
        <v>9.01E-2</v>
      </c>
      <c r="T66">
        <v>132989</v>
      </c>
      <c r="U66">
        <v>155969</v>
      </c>
      <c r="V66">
        <v>0.85266302919169801</v>
      </c>
      <c r="W66">
        <f t="shared" si="0"/>
        <v>144479</v>
      </c>
      <c r="X66">
        <f t="shared" si="1"/>
        <v>13017.5579</v>
      </c>
      <c r="Y66">
        <f t="shared" si="2"/>
        <v>0.41551042593852139</v>
      </c>
      <c r="Z66">
        <f t="shared" si="3"/>
        <v>3.0205309299538959E-2</v>
      </c>
    </row>
    <row r="67" spans="1:26" x14ac:dyDescent="0.25">
      <c r="A67">
        <v>65</v>
      </c>
      <c r="B67" t="s">
        <v>51</v>
      </c>
      <c r="C67" t="s">
        <v>51</v>
      </c>
      <c r="D67" t="s">
        <v>24</v>
      </c>
      <c r="E67" t="s">
        <v>25</v>
      </c>
      <c r="F67">
        <v>7.7019662784592802</v>
      </c>
      <c r="G67">
        <v>0.30892915530356602</v>
      </c>
      <c r="H67" t="s">
        <v>26</v>
      </c>
      <c r="I67">
        <v>50</v>
      </c>
      <c r="J67">
        <v>30.807865113837099</v>
      </c>
      <c r="K67" t="s">
        <v>54</v>
      </c>
      <c r="L67">
        <v>0.7</v>
      </c>
      <c r="M67">
        <v>88.265472943876105</v>
      </c>
      <c r="N67">
        <v>80.9266619422866</v>
      </c>
      <c r="O67">
        <v>0</v>
      </c>
      <c r="Q67">
        <v>5</v>
      </c>
      <c r="R67">
        <v>1</v>
      </c>
      <c r="S67">
        <v>0.04</v>
      </c>
      <c r="T67">
        <v>180995</v>
      </c>
      <c r="U67">
        <v>220402</v>
      </c>
      <c r="V67">
        <v>0.82120398181504695</v>
      </c>
      <c r="W67">
        <f t="shared" ref="W67:W130" si="4">AVERAGE(T67:U67)</f>
        <v>200698.5</v>
      </c>
      <c r="X67">
        <f t="shared" ref="X67:X130" si="5">W67*S67</f>
        <v>8027.9400000000005</v>
      </c>
      <c r="Y67">
        <f t="shared" ref="Y67:Y130" si="6">W67/MAX(W:W)</f>
        <v>0.57719335834427388</v>
      </c>
      <c r="Z67">
        <f t="shared" ref="Z67:Z130" si="7">X67/MAX(X:X)</f>
        <v>1.862764218918057E-2</v>
      </c>
    </row>
    <row r="68" spans="1:26" x14ac:dyDescent="0.25">
      <c r="A68">
        <v>66</v>
      </c>
      <c r="B68" t="s">
        <v>51</v>
      </c>
      <c r="C68" t="s">
        <v>51</v>
      </c>
      <c r="D68" t="s">
        <v>24</v>
      </c>
      <c r="E68" t="s">
        <v>25</v>
      </c>
      <c r="F68">
        <v>0.58777003297452102</v>
      </c>
      <c r="G68">
        <v>6.2156339729889902</v>
      </c>
      <c r="H68" t="s">
        <v>58</v>
      </c>
      <c r="I68">
        <v>1.5</v>
      </c>
      <c r="J68">
        <v>78.369337729936106</v>
      </c>
      <c r="K68" t="s">
        <v>28</v>
      </c>
      <c r="L68">
        <v>50</v>
      </c>
      <c r="M68">
        <v>24.862535891955901</v>
      </c>
      <c r="N68">
        <v>96.768126378107794</v>
      </c>
      <c r="O68">
        <v>0</v>
      </c>
      <c r="Q68">
        <v>5</v>
      </c>
      <c r="R68">
        <v>1</v>
      </c>
      <c r="S68">
        <v>5.9400000000000001E-2</v>
      </c>
      <c r="T68">
        <v>149060</v>
      </c>
      <c r="U68">
        <v>175700</v>
      </c>
      <c r="V68">
        <v>0.84837791690381303</v>
      </c>
      <c r="W68">
        <f t="shared" si="4"/>
        <v>162380</v>
      </c>
      <c r="X68">
        <f t="shared" si="5"/>
        <v>9645.3719999999994</v>
      </c>
      <c r="Y68">
        <f t="shared" si="6"/>
        <v>0.46699231697268878</v>
      </c>
      <c r="Z68">
        <f t="shared" si="7"/>
        <v>2.2380652869545731E-2</v>
      </c>
    </row>
    <row r="69" spans="1:26" x14ac:dyDescent="0.25">
      <c r="A69">
        <v>67</v>
      </c>
      <c r="B69" t="s">
        <v>51</v>
      </c>
      <c r="C69" t="s">
        <v>51</v>
      </c>
      <c r="D69" t="s">
        <v>24</v>
      </c>
      <c r="E69" t="s">
        <v>25</v>
      </c>
      <c r="F69">
        <v>7.7019662784592802</v>
      </c>
      <c r="G69">
        <v>2.6364570913121699</v>
      </c>
      <c r="H69" t="s">
        <v>26</v>
      </c>
      <c r="I69">
        <v>50</v>
      </c>
      <c r="J69">
        <v>30.807865113837099</v>
      </c>
      <c r="K69" t="s">
        <v>47</v>
      </c>
      <c r="L69">
        <v>10</v>
      </c>
      <c r="M69">
        <v>52.729141826243399</v>
      </c>
      <c r="N69">
        <v>116.462993059919</v>
      </c>
      <c r="O69">
        <v>0</v>
      </c>
      <c r="Q69">
        <v>5</v>
      </c>
      <c r="R69">
        <v>1</v>
      </c>
      <c r="S69">
        <v>0.4113</v>
      </c>
      <c r="T69">
        <v>35422</v>
      </c>
      <c r="U69">
        <v>46552</v>
      </c>
      <c r="V69">
        <v>0.76091252792576003</v>
      </c>
      <c r="W69">
        <f t="shared" si="4"/>
        <v>40987</v>
      </c>
      <c r="X69">
        <f t="shared" si="5"/>
        <v>16857.953099999999</v>
      </c>
      <c r="Y69">
        <f t="shared" si="6"/>
        <v>0.11787544091488851</v>
      </c>
      <c r="Z69">
        <f t="shared" si="7"/>
        <v>3.9116375855921606E-2</v>
      </c>
    </row>
    <row r="70" spans="1:26" x14ac:dyDescent="0.25">
      <c r="A70">
        <v>68</v>
      </c>
      <c r="B70" t="s">
        <v>51</v>
      </c>
      <c r="C70" t="s">
        <v>51</v>
      </c>
      <c r="D70" t="s">
        <v>24</v>
      </c>
      <c r="E70" t="s">
        <v>25</v>
      </c>
      <c r="F70">
        <v>3.2669078810196401</v>
      </c>
      <c r="G70">
        <v>1.11829397041983</v>
      </c>
      <c r="H70" t="s">
        <v>33</v>
      </c>
      <c r="I70">
        <v>10</v>
      </c>
      <c r="J70">
        <v>65.338157620392906</v>
      </c>
      <c r="K70" t="s">
        <v>43</v>
      </c>
      <c r="L70">
        <v>4</v>
      </c>
      <c r="M70">
        <v>55.9146985209915</v>
      </c>
      <c r="N70">
        <v>78.747143858615402</v>
      </c>
      <c r="O70">
        <v>0</v>
      </c>
      <c r="Q70">
        <v>5</v>
      </c>
      <c r="R70">
        <v>1</v>
      </c>
      <c r="S70">
        <v>0.28610000000000002</v>
      </c>
      <c r="T70">
        <v>66670</v>
      </c>
      <c r="U70">
        <v>81706</v>
      </c>
      <c r="V70">
        <v>0.81597434704917604</v>
      </c>
      <c r="W70">
        <f t="shared" si="4"/>
        <v>74188</v>
      </c>
      <c r="X70">
        <f t="shared" si="5"/>
        <v>21225.186800000003</v>
      </c>
      <c r="Y70">
        <f t="shared" si="6"/>
        <v>0.21335894821757506</v>
      </c>
      <c r="Z70">
        <f t="shared" si="7"/>
        <v>4.9249892887704511E-2</v>
      </c>
    </row>
    <row r="71" spans="1:26" x14ac:dyDescent="0.25">
      <c r="A71">
        <v>69</v>
      </c>
      <c r="B71" t="s">
        <v>51</v>
      </c>
      <c r="C71" t="s">
        <v>51</v>
      </c>
      <c r="D71" t="s">
        <v>24</v>
      </c>
      <c r="E71" t="s">
        <v>25</v>
      </c>
      <c r="F71">
        <v>14.653796495867301</v>
      </c>
      <c r="G71">
        <v>2.9213319283060899E-2</v>
      </c>
      <c r="H71" t="s">
        <v>26</v>
      </c>
      <c r="I71">
        <v>50</v>
      </c>
      <c r="J71">
        <v>58.615185983469303</v>
      </c>
      <c r="K71" t="s">
        <v>53</v>
      </c>
      <c r="L71">
        <v>0.1</v>
      </c>
      <c r="M71">
        <v>58.426638566121902</v>
      </c>
      <c r="N71">
        <v>82.958175450408604</v>
      </c>
      <c r="O71">
        <v>0</v>
      </c>
      <c r="Q71">
        <v>5</v>
      </c>
      <c r="R71">
        <v>1</v>
      </c>
      <c r="S71">
        <v>3.8800000000000001E-2</v>
      </c>
      <c r="T71">
        <v>302279</v>
      </c>
      <c r="U71">
        <v>393150</v>
      </c>
      <c r="V71">
        <v>0.76886430115731896</v>
      </c>
      <c r="W71">
        <f t="shared" si="4"/>
        <v>347714.5</v>
      </c>
      <c r="X71">
        <f t="shared" si="5"/>
        <v>13491.3226</v>
      </c>
      <c r="Y71">
        <f t="shared" si="6"/>
        <v>1</v>
      </c>
      <c r="Z71">
        <f t="shared" si="7"/>
        <v>3.1304609906352719E-2</v>
      </c>
    </row>
    <row r="72" spans="1:26" x14ac:dyDescent="0.25">
      <c r="A72">
        <v>70</v>
      </c>
      <c r="B72" t="s">
        <v>51</v>
      </c>
      <c r="C72" t="s">
        <v>51</v>
      </c>
      <c r="D72" t="s">
        <v>24</v>
      </c>
      <c r="E72" t="s">
        <v>25</v>
      </c>
      <c r="F72">
        <v>14.653796495867301</v>
      </c>
      <c r="G72">
        <v>0.16237170601161299</v>
      </c>
      <c r="H72" t="s">
        <v>26</v>
      </c>
      <c r="I72">
        <v>50</v>
      </c>
      <c r="J72">
        <v>58.615185983469303</v>
      </c>
      <c r="K72" t="s">
        <v>54</v>
      </c>
      <c r="L72">
        <v>0.7</v>
      </c>
      <c r="M72">
        <v>46.391916003318002</v>
      </c>
      <c r="N72">
        <v>94.992898013212496</v>
      </c>
      <c r="O72">
        <v>0</v>
      </c>
      <c r="Q72">
        <v>5</v>
      </c>
      <c r="R72">
        <v>1</v>
      </c>
      <c r="S72">
        <v>3.8100000000000002E-2</v>
      </c>
      <c r="T72">
        <v>276491</v>
      </c>
      <c r="U72">
        <v>355381</v>
      </c>
      <c r="V72">
        <v>0.77801289320475697</v>
      </c>
      <c r="W72">
        <f t="shared" si="4"/>
        <v>315936</v>
      </c>
      <c r="X72">
        <f t="shared" si="5"/>
        <v>12037.161600000001</v>
      </c>
      <c r="Y72">
        <f t="shared" si="6"/>
        <v>0.90860749264123297</v>
      </c>
      <c r="Z72">
        <f t="shared" si="7"/>
        <v>2.7930445326963618E-2</v>
      </c>
    </row>
    <row r="73" spans="1:26" x14ac:dyDescent="0.25">
      <c r="A73">
        <v>71</v>
      </c>
      <c r="B73" t="s">
        <v>51</v>
      </c>
      <c r="C73" t="s">
        <v>51</v>
      </c>
      <c r="D73" t="s">
        <v>24</v>
      </c>
      <c r="E73" t="s">
        <v>25</v>
      </c>
      <c r="F73">
        <v>2.6364570913121699</v>
      </c>
      <c r="G73">
        <v>7.7019662784592802</v>
      </c>
      <c r="H73" t="s">
        <v>33</v>
      </c>
      <c r="I73">
        <v>10</v>
      </c>
      <c r="J73">
        <v>52.729141826243399</v>
      </c>
      <c r="K73" t="s">
        <v>28</v>
      </c>
      <c r="L73">
        <v>50</v>
      </c>
      <c r="M73">
        <v>30.807865113837099</v>
      </c>
      <c r="N73">
        <v>116.462993059919</v>
      </c>
      <c r="O73">
        <v>0</v>
      </c>
      <c r="Q73">
        <v>5</v>
      </c>
      <c r="R73">
        <v>1</v>
      </c>
      <c r="S73">
        <v>0.50639999999999996</v>
      </c>
      <c r="T73">
        <v>31505</v>
      </c>
      <c r="U73">
        <v>40547</v>
      </c>
      <c r="V73">
        <v>0.77699953140799505</v>
      </c>
      <c r="W73">
        <f t="shared" si="4"/>
        <v>36026</v>
      </c>
      <c r="X73">
        <f t="shared" si="5"/>
        <v>18243.5664</v>
      </c>
      <c r="Y73">
        <f t="shared" si="6"/>
        <v>0.10360798873788697</v>
      </c>
      <c r="Z73">
        <f t="shared" si="7"/>
        <v>4.2331485680480556E-2</v>
      </c>
    </row>
    <row r="74" spans="1:26" x14ac:dyDescent="0.25">
      <c r="A74">
        <v>72</v>
      </c>
      <c r="B74" t="s">
        <v>51</v>
      </c>
      <c r="C74" t="s">
        <v>51</v>
      </c>
      <c r="D74" t="s">
        <v>24</v>
      </c>
      <c r="E74" t="s">
        <v>25</v>
      </c>
      <c r="F74">
        <v>19.503163612103702</v>
      </c>
      <c r="G74">
        <v>1.2901298904568801</v>
      </c>
      <c r="H74" t="s">
        <v>26</v>
      </c>
      <c r="I74">
        <v>50</v>
      </c>
      <c r="J74">
        <v>78.012654448415006</v>
      </c>
      <c r="K74" t="s">
        <v>43</v>
      </c>
      <c r="L74">
        <v>4</v>
      </c>
      <c r="M74">
        <v>64.506494522844406</v>
      </c>
      <c r="N74">
        <v>57.480851028740503</v>
      </c>
      <c r="O74">
        <v>0</v>
      </c>
      <c r="Q74">
        <v>5</v>
      </c>
      <c r="R74">
        <v>1</v>
      </c>
      <c r="S74">
        <v>4.2000000000000003E-2</v>
      </c>
      <c r="T74">
        <v>279390</v>
      </c>
      <c r="U74">
        <v>365236</v>
      </c>
      <c r="V74">
        <v>0.764957452167913</v>
      </c>
      <c r="W74">
        <f t="shared" si="4"/>
        <v>322313</v>
      </c>
      <c r="X74">
        <f t="shared" si="5"/>
        <v>13537.146000000001</v>
      </c>
      <c r="Y74">
        <f t="shared" si="6"/>
        <v>0.92694725126504651</v>
      </c>
      <c r="Z74">
        <f t="shared" si="7"/>
        <v>3.1410936298813516E-2</v>
      </c>
    </row>
    <row r="75" spans="1:26" x14ac:dyDescent="0.25">
      <c r="A75">
        <v>73</v>
      </c>
      <c r="B75" t="s">
        <v>51</v>
      </c>
      <c r="C75" t="s">
        <v>51</v>
      </c>
      <c r="D75" t="s">
        <v>24</v>
      </c>
      <c r="E75" t="s">
        <v>25</v>
      </c>
      <c r="F75">
        <v>1.2901298904568801</v>
      </c>
      <c r="G75">
        <v>19.503163612103702</v>
      </c>
      <c r="H75" t="s">
        <v>31</v>
      </c>
      <c r="I75">
        <v>4</v>
      </c>
      <c r="J75">
        <v>64.506494522844406</v>
      </c>
      <c r="K75" t="s">
        <v>28</v>
      </c>
      <c r="L75">
        <v>50</v>
      </c>
      <c r="M75">
        <v>78.012654448415006</v>
      </c>
      <c r="N75">
        <v>57.480851028740503</v>
      </c>
      <c r="O75">
        <v>0</v>
      </c>
      <c r="Q75">
        <v>5</v>
      </c>
      <c r="R75">
        <v>1</v>
      </c>
      <c r="S75">
        <v>4.2299999999999997E-2</v>
      </c>
      <c r="T75">
        <v>249865</v>
      </c>
      <c r="U75">
        <v>324778</v>
      </c>
      <c r="V75">
        <v>0.76934090363263496</v>
      </c>
      <c r="W75">
        <f t="shared" si="4"/>
        <v>287321.5</v>
      </c>
      <c r="X75">
        <f t="shared" si="5"/>
        <v>12153.69945</v>
      </c>
      <c r="Y75">
        <f t="shared" si="6"/>
        <v>0.82631440448989046</v>
      </c>
      <c r="Z75">
        <f t="shared" si="7"/>
        <v>2.8200854095750676E-2</v>
      </c>
    </row>
    <row r="76" spans="1:26" x14ac:dyDescent="0.25">
      <c r="A76">
        <v>74</v>
      </c>
      <c r="B76" t="s">
        <v>51</v>
      </c>
      <c r="C76" t="s">
        <v>51</v>
      </c>
      <c r="D76" t="s">
        <v>24</v>
      </c>
      <c r="E76" t="s">
        <v>25</v>
      </c>
      <c r="F76">
        <v>6.2156339729889902</v>
      </c>
      <c r="G76">
        <v>6.2156339729889902</v>
      </c>
      <c r="H76" t="s">
        <v>26</v>
      </c>
      <c r="I76">
        <v>50</v>
      </c>
      <c r="J76">
        <v>24.862535891955901</v>
      </c>
      <c r="K76" t="s">
        <v>28</v>
      </c>
      <c r="L76">
        <v>50</v>
      </c>
      <c r="M76">
        <v>24.862535891955901</v>
      </c>
      <c r="N76">
        <v>150.274928216088</v>
      </c>
      <c r="O76">
        <v>0</v>
      </c>
      <c r="Q76">
        <v>5</v>
      </c>
      <c r="R76">
        <v>1</v>
      </c>
      <c r="S76">
        <v>1.9147000000000001</v>
      </c>
      <c r="T76">
        <v>48930</v>
      </c>
      <c r="U76">
        <v>68635</v>
      </c>
      <c r="V76">
        <v>0.71290158082610899</v>
      </c>
      <c r="W76">
        <f t="shared" si="4"/>
        <v>58782.5</v>
      </c>
      <c r="X76">
        <f t="shared" si="5"/>
        <v>112550.85275000001</v>
      </c>
      <c r="Y76">
        <f t="shared" si="6"/>
        <v>0.16905392211138737</v>
      </c>
      <c r="Z76">
        <f t="shared" si="7"/>
        <v>0.26115753395194158</v>
      </c>
    </row>
    <row r="77" spans="1:26" x14ac:dyDescent="0.25">
      <c r="A77">
        <v>75</v>
      </c>
      <c r="B77" t="s">
        <v>51</v>
      </c>
      <c r="C77" t="s">
        <v>51</v>
      </c>
      <c r="D77" t="s">
        <v>24</v>
      </c>
      <c r="E77" t="s">
        <v>25</v>
      </c>
      <c r="F77">
        <v>13.6430486871044</v>
      </c>
      <c r="G77">
        <v>2.2853001781401101</v>
      </c>
      <c r="H77" t="s">
        <v>26</v>
      </c>
      <c r="I77">
        <v>50</v>
      </c>
      <c r="J77">
        <v>54.5721947484179</v>
      </c>
      <c r="K77" t="s">
        <v>47</v>
      </c>
      <c r="L77">
        <v>10</v>
      </c>
      <c r="M77">
        <v>45.706003562802202</v>
      </c>
      <c r="N77">
        <v>99.721801688779806</v>
      </c>
      <c r="O77">
        <v>0</v>
      </c>
      <c r="Q77">
        <v>5</v>
      </c>
      <c r="R77">
        <v>1</v>
      </c>
      <c r="S77">
        <v>0.44319999999999998</v>
      </c>
      <c r="T77">
        <v>78075</v>
      </c>
      <c r="U77">
        <v>107878</v>
      </c>
      <c r="V77">
        <v>0.72373421828361595</v>
      </c>
      <c r="W77">
        <f t="shared" si="4"/>
        <v>92976.5</v>
      </c>
      <c r="X77">
        <f t="shared" si="5"/>
        <v>41207.184799999995</v>
      </c>
      <c r="Y77">
        <f t="shared" si="6"/>
        <v>0.26739322058757975</v>
      </c>
      <c r="Z77">
        <f t="shared" si="7"/>
        <v>9.5615150845402452E-2</v>
      </c>
    </row>
    <row r="78" spans="1:26" x14ac:dyDescent="0.25">
      <c r="A78">
        <v>76</v>
      </c>
      <c r="B78" t="s">
        <v>51</v>
      </c>
      <c r="C78" t="s">
        <v>51</v>
      </c>
      <c r="D78" t="s">
        <v>24</v>
      </c>
      <c r="E78" t="s">
        <v>25</v>
      </c>
      <c r="F78">
        <v>1.11829397041983</v>
      </c>
      <c r="G78">
        <v>3.2669078810196401</v>
      </c>
      <c r="H78" t="s">
        <v>31</v>
      </c>
      <c r="I78">
        <v>4</v>
      </c>
      <c r="J78">
        <v>55.9146985209915</v>
      </c>
      <c r="K78" t="s">
        <v>47</v>
      </c>
      <c r="L78">
        <v>10</v>
      </c>
      <c r="M78">
        <v>65.338157620392906</v>
      </c>
      <c r="N78">
        <v>78.747143858615402</v>
      </c>
      <c r="O78">
        <v>0</v>
      </c>
      <c r="Q78">
        <v>5</v>
      </c>
      <c r="R78">
        <v>1</v>
      </c>
      <c r="S78">
        <v>0.1007</v>
      </c>
      <c r="T78">
        <v>97782</v>
      </c>
      <c r="U78">
        <v>115758</v>
      </c>
      <c r="V78">
        <v>0.84471051676773901</v>
      </c>
      <c r="W78">
        <f t="shared" si="4"/>
        <v>106770</v>
      </c>
      <c r="X78">
        <f t="shared" si="5"/>
        <v>10751.739</v>
      </c>
      <c r="Y78">
        <f t="shared" si="6"/>
        <v>0.30706225941109733</v>
      </c>
      <c r="Z78">
        <f t="shared" si="7"/>
        <v>2.4947813138047628E-2</v>
      </c>
    </row>
    <row r="79" spans="1:26" x14ac:dyDescent="0.25">
      <c r="A79">
        <v>77</v>
      </c>
      <c r="B79" t="s">
        <v>51</v>
      </c>
      <c r="C79" t="s">
        <v>51</v>
      </c>
      <c r="D79" t="s">
        <v>24</v>
      </c>
      <c r="E79" t="s">
        <v>25</v>
      </c>
      <c r="F79">
        <v>18.157929979956801</v>
      </c>
      <c r="G79">
        <v>9.5437222996575102</v>
      </c>
      <c r="H79" t="s">
        <v>26</v>
      </c>
      <c r="I79">
        <v>50</v>
      </c>
      <c r="J79">
        <v>72.631719919827304</v>
      </c>
      <c r="K79" t="s">
        <v>28</v>
      </c>
      <c r="L79">
        <v>50</v>
      </c>
      <c r="M79">
        <v>38.174889198629998</v>
      </c>
      <c r="N79">
        <v>89.193390881542598</v>
      </c>
      <c r="O79">
        <v>0</v>
      </c>
      <c r="Q79">
        <v>5</v>
      </c>
      <c r="R79">
        <v>1</v>
      </c>
      <c r="S79">
        <v>2.5909</v>
      </c>
      <c r="T79">
        <v>29081</v>
      </c>
      <c r="U79">
        <v>38318</v>
      </c>
      <c r="V79">
        <v>0.75893835795187603</v>
      </c>
      <c r="W79">
        <f t="shared" si="4"/>
        <v>33699.5</v>
      </c>
      <c r="X79">
        <f t="shared" si="5"/>
        <v>87312.034549999997</v>
      </c>
      <c r="Y79">
        <f t="shared" si="6"/>
        <v>9.6917154734703331E-2</v>
      </c>
      <c r="Z79">
        <f t="shared" si="7"/>
        <v>0.20259460564064646</v>
      </c>
    </row>
    <row r="80" spans="1:26" x14ac:dyDescent="0.25">
      <c r="A80">
        <v>78</v>
      </c>
      <c r="B80" t="s">
        <v>51</v>
      </c>
      <c r="C80" t="s">
        <v>51</v>
      </c>
      <c r="D80" t="s">
        <v>24</v>
      </c>
      <c r="E80" t="s">
        <v>25</v>
      </c>
      <c r="F80">
        <v>1.2391280297278401E-2</v>
      </c>
      <c r="G80">
        <v>9.5437222996575102</v>
      </c>
      <c r="H80" t="s">
        <v>52</v>
      </c>
      <c r="I80">
        <v>0.1</v>
      </c>
      <c r="J80">
        <v>24.782560594556799</v>
      </c>
      <c r="K80" t="s">
        <v>28</v>
      </c>
      <c r="L80">
        <v>50</v>
      </c>
      <c r="M80">
        <v>38.174889198629998</v>
      </c>
      <c r="N80">
        <v>137.04255020681299</v>
      </c>
      <c r="O80">
        <v>0</v>
      </c>
      <c r="Q80">
        <v>5</v>
      </c>
      <c r="R80">
        <v>1</v>
      </c>
      <c r="S80">
        <v>3.8100000000000002E-2</v>
      </c>
      <c r="T80">
        <v>203946</v>
      </c>
      <c r="U80">
        <v>251037</v>
      </c>
      <c r="V80">
        <v>0.81241410628712096</v>
      </c>
      <c r="W80">
        <f t="shared" si="4"/>
        <v>227491.5</v>
      </c>
      <c r="X80">
        <f t="shared" si="5"/>
        <v>8667.4261500000011</v>
      </c>
      <c r="Y80">
        <f t="shared" si="6"/>
        <v>0.65424795342155706</v>
      </c>
      <c r="Z80">
        <f t="shared" si="7"/>
        <v>2.0111474802171781E-2</v>
      </c>
    </row>
    <row r="81" spans="1:26" x14ac:dyDescent="0.25">
      <c r="A81">
        <v>79</v>
      </c>
      <c r="B81" t="s">
        <v>51</v>
      </c>
      <c r="C81" t="s">
        <v>51</v>
      </c>
      <c r="D81" t="s">
        <v>24</v>
      </c>
      <c r="E81" t="s">
        <v>25</v>
      </c>
      <c r="F81">
        <v>12.7020173598832</v>
      </c>
      <c r="G81">
        <v>4.6701467077091996</v>
      </c>
      <c r="H81" t="s">
        <v>26</v>
      </c>
      <c r="I81">
        <v>50</v>
      </c>
      <c r="J81">
        <v>50.808069439533</v>
      </c>
      <c r="K81" t="s">
        <v>28</v>
      </c>
      <c r="L81">
        <v>50</v>
      </c>
      <c r="M81">
        <v>18.680586830836798</v>
      </c>
      <c r="N81">
        <v>130.51134372963</v>
      </c>
      <c r="O81">
        <v>0</v>
      </c>
      <c r="Q81">
        <v>5</v>
      </c>
      <c r="R81">
        <v>1</v>
      </c>
      <c r="S81">
        <v>1.3822000000000001</v>
      </c>
      <c r="T81">
        <v>42769</v>
      </c>
      <c r="U81">
        <v>58216</v>
      </c>
      <c r="V81">
        <v>0.73466057441253196</v>
      </c>
      <c r="W81">
        <f t="shared" si="4"/>
        <v>50492.5</v>
      </c>
      <c r="X81">
        <f t="shared" si="5"/>
        <v>69790.733500000002</v>
      </c>
      <c r="Y81">
        <f t="shared" si="6"/>
        <v>0.14521252349269301</v>
      </c>
      <c r="Z81">
        <f t="shared" si="7"/>
        <v>0.1619390294095942</v>
      </c>
    </row>
    <row r="82" spans="1:26" x14ac:dyDescent="0.25">
      <c r="A82">
        <v>80</v>
      </c>
      <c r="B82" t="s">
        <v>51</v>
      </c>
      <c r="C82" t="s">
        <v>51</v>
      </c>
      <c r="D82" t="s">
        <v>24</v>
      </c>
      <c r="E82" t="s">
        <v>25</v>
      </c>
      <c r="F82">
        <v>4.4855248539465001E-2</v>
      </c>
      <c r="G82">
        <v>9.5437222996575102</v>
      </c>
      <c r="H82" t="s">
        <v>52</v>
      </c>
      <c r="I82">
        <v>0.1</v>
      </c>
      <c r="J82">
        <v>89.710497078930103</v>
      </c>
      <c r="K82" t="s">
        <v>28</v>
      </c>
      <c r="L82">
        <v>50</v>
      </c>
      <c r="M82">
        <v>38.174889198629998</v>
      </c>
      <c r="N82">
        <v>72.114613722439799</v>
      </c>
      <c r="O82">
        <v>0</v>
      </c>
      <c r="Q82">
        <v>5</v>
      </c>
      <c r="R82">
        <v>1</v>
      </c>
      <c r="S82">
        <v>3.9100000000000003E-2</v>
      </c>
      <c r="T82">
        <v>226285</v>
      </c>
      <c r="U82">
        <v>281508</v>
      </c>
      <c r="V82">
        <v>0.80383150745271803</v>
      </c>
      <c r="W82">
        <f t="shared" si="4"/>
        <v>253896.5</v>
      </c>
      <c r="X82">
        <f t="shared" si="5"/>
        <v>9927.3531500000008</v>
      </c>
      <c r="Y82">
        <f t="shared" si="6"/>
        <v>0.73018669051765173</v>
      </c>
      <c r="Z82">
        <f t="shared" si="7"/>
        <v>2.3034948238755473E-2</v>
      </c>
    </row>
    <row r="83" spans="1:26" x14ac:dyDescent="0.25">
      <c r="A83">
        <v>81</v>
      </c>
      <c r="B83" t="s">
        <v>51</v>
      </c>
      <c r="C83" t="s">
        <v>51</v>
      </c>
      <c r="D83" t="s">
        <v>24</v>
      </c>
      <c r="E83" t="s">
        <v>25</v>
      </c>
      <c r="F83">
        <v>9.5437222996575208</v>
      </c>
      <c r="G83">
        <v>6.8872465399842903E-2</v>
      </c>
      <c r="H83" t="s">
        <v>26</v>
      </c>
      <c r="I83">
        <v>50</v>
      </c>
      <c r="J83">
        <v>38.174889198629998</v>
      </c>
      <c r="K83" t="s">
        <v>56</v>
      </c>
      <c r="L83">
        <v>0.3</v>
      </c>
      <c r="M83">
        <v>45.914976933228601</v>
      </c>
      <c r="N83">
        <v>115.910133868141</v>
      </c>
      <c r="O83">
        <v>0</v>
      </c>
      <c r="Q83">
        <v>5</v>
      </c>
      <c r="R83">
        <v>1</v>
      </c>
      <c r="S83">
        <v>3.9100000000000003E-2</v>
      </c>
      <c r="T83">
        <v>244633</v>
      </c>
      <c r="U83">
        <v>304182</v>
      </c>
      <c r="V83">
        <v>0.80423233458915999</v>
      </c>
      <c r="W83">
        <f t="shared" si="4"/>
        <v>274407.5</v>
      </c>
      <c r="X83">
        <f t="shared" si="5"/>
        <v>10729.333250000001</v>
      </c>
      <c r="Y83">
        <f t="shared" si="6"/>
        <v>0.7891747396211547</v>
      </c>
      <c r="Z83">
        <f t="shared" si="7"/>
        <v>2.4895823923631454E-2</v>
      </c>
    </row>
    <row r="84" spans="1:26" x14ac:dyDescent="0.25">
      <c r="A84">
        <v>82</v>
      </c>
      <c r="B84" t="s">
        <v>51</v>
      </c>
      <c r="C84" t="s">
        <v>51</v>
      </c>
      <c r="D84" t="s">
        <v>24</v>
      </c>
      <c r="E84" t="s">
        <v>25</v>
      </c>
      <c r="F84">
        <v>2.2853001781401101</v>
      </c>
      <c r="G84">
        <v>13.6430486871044</v>
      </c>
      <c r="H84" t="s">
        <v>33</v>
      </c>
      <c r="I84">
        <v>10</v>
      </c>
      <c r="J84">
        <v>45.706003562802202</v>
      </c>
      <c r="K84" t="s">
        <v>28</v>
      </c>
      <c r="L84">
        <v>50</v>
      </c>
      <c r="M84">
        <v>54.5721947484179</v>
      </c>
      <c r="N84">
        <v>99.721801688779806</v>
      </c>
      <c r="O84">
        <v>0</v>
      </c>
      <c r="Q84">
        <v>5</v>
      </c>
      <c r="R84">
        <v>1</v>
      </c>
      <c r="S84">
        <v>0.4385</v>
      </c>
      <c r="T84">
        <v>55670</v>
      </c>
      <c r="U84">
        <v>73951</v>
      </c>
      <c r="V84">
        <v>0.75279577017214105</v>
      </c>
      <c r="W84">
        <f t="shared" si="4"/>
        <v>64810.5</v>
      </c>
      <c r="X84">
        <f t="shared" si="5"/>
        <v>28419.40425</v>
      </c>
      <c r="Y84">
        <f t="shared" si="6"/>
        <v>0.18638998373665752</v>
      </c>
      <c r="Z84">
        <f t="shared" si="7"/>
        <v>6.5943005752244974E-2</v>
      </c>
    </row>
    <row r="85" spans="1:26" x14ac:dyDescent="0.25">
      <c r="A85">
        <v>83</v>
      </c>
      <c r="B85" t="s">
        <v>51</v>
      </c>
      <c r="C85" t="s">
        <v>51</v>
      </c>
      <c r="D85" t="s">
        <v>24</v>
      </c>
      <c r="E85" t="s">
        <v>25</v>
      </c>
      <c r="F85">
        <v>0.105749419403599</v>
      </c>
      <c r="G85">
        <v>0.20119933215371799</v>
      </c>
      <c r="H85" t="s">
        <v>57</v>
      </c>
      <c r="I85">
        <v>0.3</v>
      </c>
      <c r="J85">
        <v>70.499612935732699</v>
      </c>
      <c r="K85" t="s">
        <v>54</v>
      </c>
      <c r="L85">
        <v>0.7</v>
      </c>
      <c r="M85">
        <v>57.485523472490897</v>
      </c>
      <c r="N85">
        <v>72.014863591776304</v>
      </c>
      <c r="O85">
        <v>0</v>
      </c>
      <c r="Q85">
        <v>5</v>
      </c>
      <c r="R85">
        <v>1</v>
      </c>
      <c r="S85">
        <v>4.8300000000000003E-2</v>
      </c>
      <c r="T85">
        <v>259220</v>
      </c>
      <c r="U85">
        <v>298347</v>
      </c>
      <c r="V85">
        <v>0.86885405249591896</v>
      </c>
      <c r="W85">
        <f t="shared" si="4"/>
        <v>278783.5</v>
      </c>
      <c r="X85">
        <f t="shared" si="5"/>
        <v>13465.243050000001</v>
      </c>
      <c r="Y85">
        <f t="shared" si="6"/>
        <v>0.80175977705847756</v>
      </c>
      <c r="Z85">
        <f t="shared" si="7"/>
        <v>3.1244096184793416E-2</v>
      </c>
    </row>
    <row r="86" spans="1:26" x14ac:dyDescent="0.25">
      <c r="A86">
        <v>84</v>
      </c>
      <c r="B86" t="s">
        <v>51</v>
      </c>
      <c r="C86" t="s">
        <v>51</v>
      </c>
      <c r="D86" t="s">
        <v>24</v>
      </c>
      <c r="E86" t="s">
        <v>25</v>
      </c>
      <c r="F86">
        <v>2.1276712559647599</v>
      </c>
      <c r="G86">
        <v>3.2669078810196401</v>
      </c>
      <c r="H86" t="s">
        <v>33</v>
      </c>
      <c r="I86">
        <v>10</v>
      </c>
      <c r="J86">
        <v>42.553425119295198</v>
      </c>
      <c r="K86" t="s">
        <v>47</v>
      </c>
      <c r="L86">
        <v>10</v>
      </c>
      <c r="M86">
        <v>65.338157620392906</v>
      </c>
      <c r="N86">
        <v>92.108417260311697</v>
      </c>
      <c r="O86">
        <v>0</v>
      </c>
      <c r="Q86">
        <v>5</v>
      </c>
      <c r="R86">
        <v>1</v>
      </c>
      <c r="S86">
        <v>0.37590000000000001</v>
      </c>
      <c r="T86">
        <v>21973</v>
      </c>
      <c r="U86">
        <v>24624</v>
      </c>
      <c r="V86">
        <v>0.89234080571799801</v>
      </c>
      <c r="W86">
        <f t="shared" si="4"/>
        <v>23298.5</v>
      </c>
      <c r="X86">
        <f t="shared" si="5"/>
        <v>8757.9061500000007</v>
      </c>
      <c r="Y86">
        <f t="shared" si="6"/>
        <v>6.7004683440006096E-2</v>
      </c>
      <c r="Z86">
        <f t="shared" si="7"/>
        <v>2.0321420201025914E-2</v>
      </c>
    </row>
    <row r="87" spans="1:26" x14ac:dyDescent="0.25">
      <c r="A87">
        <v>85</v>
      </c>
      <c r="B87" t="s">
        <v>51</v>
      </c>
      <c r="C87" t="s">
        <v>51</v>
      </c>
      <c r="D87" t="s">
        <v>24</v>
      </c>
      <c r="E87" t="s">
        <v>25</v>
      </c>
      <c r="F87">
        <v>2.6364570913121699</v>
      </c>
      <c r="G87">
        <v>1.84428091634893</v>
      </c>
      <c r="H87" t="s">
        <v>33</v>
      </c>
      <c r="I87">
        <v>10</v>
      </c>
      <c r="J87">
        <v>52.729141826243399</v>
      </c>
      <c r="K87" t="s">
        <v>47</v>
      </c>
      <c r="L87">
        <v>10</v>
      </c>
      <c r="M87">
        <v>36.885618326978602</v>
      </c>
      <c r="N87">
        <v>110.385239846777</v>
      </c>
      <c r="O87">
        <v>0</v>
      </c>
      <c r="Q87">
        <v>5</v>
      </c>
      <c r="R87">
        <v>1</v>
      </c>
      <c r="S87">
        <v>0.68259999999999998</v>
      </c>
      <c r="T87">
        <v>39603</v>
      </c>
      <c r="U87">
        <v>51798</v>
      </c>
      <c r="V87">
        <v>0.76456619946715998</v>
      </c>
      <c r="W87">
        <f t="shared" si="4"/>
        <v>45700.5</v>
      </c>
      <c r="X87">
        <f t="shared" si="5"/>
        <v>31195.1613</v>
      </c>
      <c r="Y87">
        <f t="shared" si="6"/>
        <v>0.13143110224048751</v>
      </c>
      <c r="Z87">
        <f t="shared" si="7"/>
        <v>7.2383737637572401E-2</v>
      </c>
    </row>
    <row r="88" spans="1:26" x14ac:dyDescent="0.25">
      <c r="A88">
        <v>86</v>
      </c>
      <c r="B88" t="s">
        <v>51</v>
      </c>
      <c r="C88" t="s">
        <v>51</v>
      </c>
      <c r="D88" t="s">
        <v>24</v>
      </c>
      <c r="E88" t="s">
        <v>25</v>
      </c>
      <c r="F88">
        <v>2.6364570913121699</v>
      </c>
      <c r="G88">
        <v>4.3480226388544496</v>
      </c>
      <c r="H88" t="s">
        <v>33</v>
      </c>
      <c r="I88">
        <v>10</v>
      </c>
      <c r="J88">
        <v>52.729141826243399</v>
      </c>
      <c r="K88" t="s">
        <v>47</v>
      </c>
      <c r="L88">
        <v>10</v>
      </c>
      <c r="M88">
        <v>86.960452777089102</v>
      </c>
      <c r="N88">
        <v>60.310405396667299</v>
      </c>
      <c r="O88">
        <v>0</v>
      </c>
      <c r="Q88">
        <v>5</v>
      </c>
      <c r="R88">
        <v>1</v>
      </c>
      <c r="S88">
        <v>0.4884</v>
      </c>
      <c r="T88">
        <v>29333</v>
      </c>
      <c r="U88">
        <v>37329</v>
      </c>
      <c r="V88">
        <v>0.78579656567280098</v>
      </c>
      <c r="W88">
        <f t="shared" si="4"/>
        <v>33331</v>
      </c>
      <c r="X88">
        <f t="shared" si="5"/>
        <v>16278.8604</v>
      </c>
      <c r="Y88">
        <f t="shared" si="6"/>
        <v>9.5857377244837366E-2</v>
      </c>
      <c r="Z88">
        <f t="shared" si="7"/>
        <v>3.7772677271980214E-2</v>
      </c>
    </row>
    <row r="89" spans="1:26" x14ac:dyDescent="0.25">
      <c r="A89">
        <v>87</v>
      </c>
      <c r="B89" t="s">
        <v>51</v>
      </c>
      <c r="C89" t="s">
        <v>51</v>
      </c>
      <c r="D89" t="s">
        <v>24</v>
      </c>
      <c r="E89" t="s">
        <v>25</v>
      </c>
      <c r="F89">
        <v>9.1664365711705401E-2</v>
      </c>
      <c r="G89">
        <v>7.1707220004789196</v>
      </c>
      <c r="H89" t="s">
        <v>57</v>
      </c>
      <c r="I89">
        <v>0.3</v>
      </c>
      <c r="J89">
        <v>61.109577141136903</v>
      </c>
      <c r="K89" t="s">
        <v>28</v>
      </c>
      <c r="L89">
        <v>50</v>
      </c>
      <c r="M89">
        <v>28.6828880019157</v>
      </c>
      <c r="N89">
        <v>110.20753485694701</v>
      </c>
      <c r="O89">
        <v>0</v>
      </c>
      <c r="Q89">
        <v>5</v>
      </c>
      <c r="R89">
        <v>1</v>
      </c>
      <c r="S89">
        <v>3.9600000000000003E-2</v>
      </c>
      <c r="T89">
        <v>203580</v>
      </c>
      <c r="U89">
        <v>254433</v>
      </c>
      <c r="V89">
        <v>0.80013205834148804</v>
      </c>
      <c r="W89">
        <f t="shared" si="4"/>
        <v>229006.5</v>
      </c>
      <c r="X89">
        <f t="shared" si="5"/>
        <v>9068.6574000000001</v>
      </c>
      <c r="Y89">
        <f t="shared" si="6"/>
        <v>0.65860497620892999</v>
      </c>
      <c r="Z89">
        <f t="shared" si="7"/>
        <v>2.1042472313378597E-2</v>
      </c>
    </row>
    <row r="90" spans="1:26" x14ac:dyDescent="0.25">
      <c r="A90">
        <v>88</v>
      </c>
      <c r="B90" t="s">
        <v>51</v>
      </c>
      <c r="C90" t="s">
        <v>51</v>
      </c>
      <c r="D90" t="s">
        <v>24</v>
      </c>
      <c r="E90" t="s">
        <v>25</v>
      </c>
      <c r="F90">
        <v>0.20119933215371799</v>
      </c>
      <c r="G90">
        <v>5.0161353983366697</v>
      </c>
      <c r="H90" t="s">
        <v>55</v>
      </c>
      <c r="I90">
        <v>0.7</v>
      </c>
      <c r="J90">
        <v>57.485523472490897</v>
      </c>
      <c r="K90" t="s">
        <v>28</v>
      </c>
      <c r="L90">
        <v>50</v>
      </c>
      <c r="M90">
        <v>20.0645415933466</v>
      </c>
      <c r="N90">
        <v>122.449934934162</v>
      </c>
      <c r="O90">
        <v>0</v>
      </c>
      <c r="Q90">
        <v>5</v>
      </c>
      <c r="R90">
        <v>1</v>
      </c>
      <c r="S90">
        <v>4.3200000000000002E-2</v>
      </c>
      <c r="T90">
        <v>164253</v>
      </c>
      <c r="U90">
        <v>190445</v>
      </c>
      <c r="V90">
        <v>0.86246947937724805</v>
      </c>
      <c r="W90">
        <f t="shared" si="4"/>
        <v>177349</v>
      </c>
      <c r="X90">
        <f t="shared" si="5"/>
        <v>7661.4768000000004</v>
      </c>
      <c r="Y90">
        <f t="shared" si="6"/>
        <v>0.51004200285003931</v>
      </c>
      <c r="Z90">
        <f t="shared" si="7"/>
        <v>1.7777318773073557E-2</v>
      </c>
    </row>
    <row r="91" spans="1:26" x14ac:dyDescent="0.25">
      <c r="A91">
        <v>89</v>
      </c>
      <c r="B91" t="s">
        <v>51</v>
      </c>
      <c r="C91" t="s">
        <v>51</v>
      </c>
      <c r="D91" t="s">
        <v>24</v>
      </c>
      <c r="E91" t="s">
        <v>25</v>
      </c>
      <c r="F91">
        <v>3.8880855605633903E-2</v>
      </c>
      <c r="G91">
        <v>5.0161353983366697</v>
      </c>
      <c r="H91" t="s">
        <v>52</v>
      </c>
      <c r="I91">
        <v>0.1</v>
      </c>
      <c r="J91">
        <v>77.761711211267894</v>
      </c>
      <c r="K91" t="s">
        <v>28</v>
      </c>
      <c r="L91">
        <v>50</v>
      </c>
      <c r="M91">
        <v>20.0645415933466</v>
      </c>
      <c r="N91">
        <v>102.173747195385</v>
      </c>
      <c r="O91">
        <v>0</v>
      </c>
      <c r="Q91">
        <v>5</v>
      </c>
      <c r="R91">
        <v>1</v>
      </c>
      <c r="S91">
        <v>3.85E-2</v>
      </c>
      <c r="T91">
        <v>171900</v>
      </c>
      <c r="U91">
        <v>201455</v>
      </c>
      <c r="V91">
        <v>0.85329229852820698</v>
      </c>
      <c r="W91">
        <f t="shared" si="4"/>
        <v>186677.5</v>
      </c>
      <c r="X91">
        <f t="shared" si="5"/>
        <v>7187.0837499999998</v>
      </c>
      <c r="Y91">
        <f t="shared" si="6"/>
        <v>0.53687004712199238</v>
      </c>
      <c r="Z91">
        <f t="shared" si="7"/>
        <v>1.667656017342856E-2</v>
      </c>
    </row>
    <row r="92" spans="1:26" x14ac:dyDescent="0.25">
      <c r="A92">
        <v>90</v>
      </c>
      <c r="B92" t="s">
        <v>51</v>
      </c>
      <c r="C92" t="s">
        <v>51</v>
      </c>
      <c r="D92" t="s">
        <v>24</v>
      </c>
      <c r="E92" t="s">
        <v>25</v>
      </c>
      <c r="F92">
        <v>2.6364570913121699</v>
      </c>
      <c r="G92">
        <v>2.7000198055406899</v>
      </c>
      <c r="H92" t="s">
        <v>33</v>
      </c>
      <c r="I92">
        <v>10</v>
      </c>
      <c r="J92">
        <v>52.729141826243399</v>
      </c>
      <c r="K92" t="s">
        <v>47</v>
      </c>
      <c r="L92">
        <v>10</v>
      </c>
      <c r="M92">
        <v>54.000396110813803</v>
      </c>
      <c r="N92">
        <v>93.270462062942599</v>
      </c>
      <c r="O92">
        <v>0</v>
      </c>
      <c r="Q92">
        <v>5</v>
      </c>
      <c r="R92">
        <v>1</v>
      </c>
      <c r="S92">
        <v>1.1635</v>
      </c>
      <c r="T92">
        <v>64555</v>
      </c>
      <c r="U92">
        <v>89499</v>
      </c>
      <c r="V92">
        <v>0.72129297534050596</v>
      </c>
      <c r="W92">
        <f t="shared" si="4"/>
        <v>77027</v>
      </c>
      <c r="X92">
        <f t="shared" si="5"/>
        <v>89620.914499999999</v>
      </c>
      <c r="Y92">
        <f t="shared" si="6"/>
        <v>0.22152369256962248</v>
      </c>
      <c r="Z92">
        <f t="shared" si="7"/>
        <v>0.20795201857178111</v>
      </c>
    </row>
    <row r="93" spans="1:26" x14ac:dyDescent="0.25">
      <c r="A93">
        <v>91</v>
      </c>
      <c r="B93" t="s">
        <v>51</v>
      </c>
      <c r="C93" t="s">
        <v>51</v>
      </c>
      <c r="D93" t="s">
        <v>24</v>
      </c>
      <c r="E93" t="s">
        <v>25</v>
      </c>
      <c r="F93">
        <v>18.157929979956801</v>
      </c>
      <c r="G93">
        <v>2.1276712559647599</v>
      </c>
      <c r="H93" t="s">
        <v>26</v>
      </c>
      <c r="I93">
        <v>50</v>
      </c>
      <c r="J93">
        <v>72.631719919827304</v>
      </c>
      <c r="K93" t="s">
        <v>47</v>
      </c>
      <c r="L93">
        <v>10</v>
      </c>
      <c r="M93">
        <v>42.553425119295198</v>
      </c>
      <c r="N93">
        <v>84.814854960877398</v>
      </c>
      <c r="O93">
        <v>0</v>
      </c>
      <c r="Q93">
        <v>5</v>
      </c>
      <c r="R93">
        <v>1</v>
      </c>
      <c r="S93">
        <v>0.37819999999999998</v>
      </c>
      <c r="T93">
        <v>90974</v>
      </c>
      <c r="U93">
        <v>123280</v>
      </c>
      <c r="V93">
        <v>0.73794613887086302</v>
      </c>
      <c r="W93">
        <f t="shared" si="4"/>
        <v>107127</v>
      </c>
      <c r="X93">
        <f t="shared" si="5"/>
        <v>40515.431400000001</v>
      </c>
      <c r="Y93">
        <f t="shared" si="6"/>
        <v>0.30808896379069611</v>
      </c>
      <c r="Z93">
        <f t="shared" si="7"/>
        <v>9.4010039843283724E-2</v>
      </c>
    </row>
    <row r="94" spans="1:26" x14ac:dyDescent="0.25">
      <c r="A94">
        <v>92</v>
      </c>
      <c r="B94" t="s">
        <v>51</v>
      </c>
      <c r="C94" t="s">
        <v>51</v>
      </c>
      <c r="D94" t="s">
        <v>24</v>
      </c>
      <c r="E94" t="s">
        <v>25</v>
      </c>
      <c r="F94">
        <v>8.2725678879423796</v>
      </c>
      <c r="G94">
        <v>1.15365898822878E-2</v>
      </c>
      <c r="H94" t="s">
        <v>26</v>
      </c>
      <c r="I94">
        <v>50</v>
      </c>
      <c r="J94">
        <v>33.090271551769497</v>
      </c>
      <c r="K94" t="s">
        <v>53</v>
      </c>
      <c r="L94">
        <v>0.1</v>
      </c>
      <c r="M94">
        <v>23.073179764575599</v>
      </c>
      <c r="N94">
        <v>143.836548683654</v>
      </c>
      <c r="O94">
        <v>0</v>
      </c>
      <c r="Q94">
        <v>5</v>
      </c>
      <c r="R94">
        <v>1</v>
      </c>
      <c r="S94">
        <v>3.9E-2</v>
      </c>
      <c r="T94">
        <v>237301</v>
      </c>
      <c r="U94">
        <v>286218</v>
      </c>
      <c r="V94">
        <v>0.82909181113696495</v>
      </c>
      <c r="W94">
        <f t="shared" si="4"/>
        <v>261759.5</v>
      </c>
      <c r="X94">
        <f t="shared" si="5"/>
        <v>10208.620499999999</v>
      </c>
      <c r="Y94">
        <f t="shared" si="6"/>
        <v>0.75280007017251227</v>
      </c>
      <c r="Z94">
        <f t="shared" si="7"/>
        <v>2.3687587341102899E-2</v>
      </c>
    </row>
    <row r="95" spans="1:26" x14ac:dyDescent="0.25">
      <c r="A95">
        <v>93</v>
      </c>
      <c r="B95" t="s">
        <v>51</v>
      </c>
      <c r="C95" t="s">
        <v>51</v>
      </c>
      <c r="D95" t="s">
        <v>24</v>
      </c>
      <c r="E95" t="s">
        <v>25</v>
      </c>
      <c r="F95">
        <v>13.6430486871044</v>
      </c>
      <c r="G95">
        <v>1.64919150521445E-2</v>
      </c>
      <c r="H95" t="s">
        <v>26</v>
      </c>
      <c r="I95">
        <v>50</v>
      </c>
      <c r="J95">
        <v>54.5721947484179</v>
      </c>
      <c r="K95" t="s">
        <v>53</v>
      </c>
      <c r="L95">
        <v>0.1</v>
      </c>
      <c r="M95">
        <v>32.983830104289098</v>
      </c>
      <c r="N95">
        <v>112.44397514729199</v>
      </c>
      <c r="O95">
        <v>0</v>
      </c>
      <c r="Q95">
        <v>5</v>
      </c>
      <c r="R95">
        <v>1</v>
      </c>
      <c r="S95">
        <v>3.8600000000000002E-2</v>
      </c>
      <c r="T95">
        <v>289068</v>
      </c>
      <c r="U95">
        <v>371705</v>
      </c>
      <c r="V95">
        <v>0.77768122570317799</v>
      </c>
      <c r="W95">
        <f t="shared" si="4"/>
        <v>330386.5</v>
      </c>
      <c r="X95">
        <f t="shared" si="5"/>
        <v>12752.918900000001</v>
      </c>
      <c r="Y95">
        <f t="shared" si="6"/>
        <v>0.95016601263392808</v>
      </c>
      <c r="Z95">
        <f t="shared" si="7"/>
        <v>2.9591253813162313E-2</v>
      </c>
    </row>
    <row r="96" spans="1:26" x14ac:dyDescent="0.25">
      <c r="A96">
        <v>94</v>
      </c>
      <c r="B96" t="s">
        <v>51</v>
      </c>
      <c r="C96" t="s">
        <v>51</v>
      </c>
      <c r="D96" t="s">
        <v>24</v>
      </c>
      <c r="E96" t="s">
        <v>25</v>
      </c>
      <c r="F96">
        <v>3.76889764065375</v>
      </c>
      <c r="G96">
        <v>10.2507707477758</v>
      </c>
      <c r="H96" t="s">
        <v>33</v>
      </c>
      <c r="I96">
        <v>10</v>
      </c>
      <c r="J96">
        <v>75.377952813075197</v>
      </c>
      <c r="K96" t="s">
        <v>28</v>
      </c>
      <c r="L96">
        <v>50</v>
      </c>
      <c r="M96">
        <v>41.003082991103298</v>
      </c>
      <c r="N96">
        <v>83.618964195821405</v>
      </c>
      <c r="O96">
        <v>0</v>
      </c>
      <c r="Q96">
        <v>5</v>
      </c>
      <c r="R96">
        <v>1</v>
      </c>
      <c r="S96">
        <v>0.72340000000000004</v>
      </c>
      <c r="T96">
        <v>23279</v>
      </c>
      <c r="U96">
        <v>29172</v>
      </c>
      <c r="V96">
        <v>0.79799122446181203</v>
      </c>
      <c r="W96">
        <f t="shared" si="4"/>
        <v>26225.5</v>
      </c>
      <c r="X96">
        <f t="shared" si="5"/>
        <v>18971.526700000002</v>
      </c>
      <c r="Y96">
        <f t="shared" si="6"/>
        <v>7.5422508983663317E-2</v>
      </c>
      <c r="Z96">
        <f t="shared" si="7"/>
        <v>4.4020609415377498E-2</v>
      </c>
    </row>
    <row r="97" spans="1:26" x14ac:dyDescent="0.25">
      <c r="A97">
        <v>95</v>
      </c>
      <c r="B97" t="s">
        <v>51</v>
      </c>
      <c r="C97" t="s">
        <v>51</v>
      </c>
      <c r="D97" t="s">
        <v>24</v>
      </c>
      <c r="E97" t="s">
        <v>25</v>
      </c>
      <c r="F97">
        <v>8.8854426241795199</v>
      </c>
      <c r="G97">
        <v>2.5322317583562799E-2</v>
      </c>
      <c r="H97" t="s">
        <v>26</v>
      </c>
      <c r="I97">
        <v>50</v>
      </c>
      <c r="J97">
        <v>35.541770496718101</v>
      </c>
      <c r="K97" t="s">
        <v>53</v>
      </c>
      <c r="L97">
        <v>0.1</v>
      </c>
      <c r="M97">
        <v>50.644635167125699</v>
      </c>
      <c r="N97">
        <v>113.813594336156</v>
      </c>
      <c r="O97">
        <v>0</v>
      </c>
      <c r="Q97">
        <v>5</v>
      </c>
      <c r="R97">
        <v>1</v>
      </c>
      <c r="S97">
        <v>3.7999999999999999E-2</v>
      </c>
      <c r="T97">
        <v>240344</v>
      </c>
      <c r="U97">
        <v>292804</v>
      </c>
      <c r="V97">
        <v>0.82083578093195397</v>
      </c>
      <c r="W97">
        <f t="shared" si="4"/>
        <v>266574</v>
      </c>
      <c r="X97">
        <f t="shared" si="5"/>
        <v>10129.812</v>
      </c>
      <c r="Y97">
        <f t="shared" si="6"/>
        <v>0.7666461996839361</v>
      </c>
      <c r="Z97">
        <f t="shared" si="7"/>
        <v>2.3504723924153342E-2</v>
      </c>
    </row>
    <row r="98" spans="1:26" x14ac:dyDescent="0.25">
      <c r="A98">
        <v>0</v>
      </c>
      <c r="B98" t="s">
        <v>51</v>
      </c>
      <c r="C98" t="s">
        <v>51</v>
      </c>
      <c r="D98" t="s">
        <v>24</v>
      </c>
      <c r="E98" t="s">
        <v>25</v>
      </c>
      <c r="F98">
        <v>0.16237170601161299</v>
      </c>
      <c r="G98">
        <v>0.474341649025257</v>
      </c>
      <c r="H98" t="s">
        <v>55</v>
      </c>
      <c r="I98">
        <v>0.7</v>
      </c>
      <c r="J98">
        <v>46.391916003318002</v>
      </c>
      <c r="K98" t="s">
        <v>41</v>
      </c>
      <c r="L98">
        <v>1.5</v>
      </c>
      <c r="M98">
        <v>63.245553203367599</v>
      </c>
      <c r="N98">
        <v>90.362530793314306</v>
      </c>
      <c r="O98">
        <v>0</v>
      </c>
      <c r="Q98">
        <v>5</v>
      </c>
      <c r="R98">
        <v>1</v>
      </c>
      <c r="S98">
        <v>5.3199999999999997E-2</v>
      </c>
      <c r="T98">
        <v>217028</v>
      </c>
      <c r="U98">
        <v>249810</v>
      </c>
      <c r="V98">
        <v>0.86877226692286103</v>
      </c>
      <c r="W98">
        <f t="shared" si="4"/>
        <v>233419</v>
      </c>
      <c r="X98">
        <f t="shared" si="5"/>
        <v>12417.890799999999</v>
      </c>
      <c r="Y98">
        <f t="shared" si="6"/>
        <v>0.67129498482231831</v>
      </c>
      <c r="Z98">
        <f t="shared" si="7"/>
        <v>2.8813870876802421E-2</v>
      </c>
    </row>
    <row r="99" spans="1:26" x14ac:dyDescent="0.25">
      <c r="A99">
        <v>1</v>
      </c>
      <c r="B99" t="s">
        <v>51</v>
      </c>
      <c r="C99" t="s">
        <v>51</v>
      </c>
      <c r="D99" t="s">
        <v>24</v>
      </c>
      <c r="E99" t="s">
        <v>25</v>
      </c>
      <c r="F99">
        <v>0.67808618155258404</v>
      </c>
      <c r="G99">
        <v>0.54722850688924896</v>
      </c>
      <c r="H99" t="s">
        <v>31</v>
      </c>
      <c r="I99">
        <v>4</v>
      </c>
      <c r="J99">
        <v>33.9043090776292</v>
      </c>
      <c r="K99" t="s">
        <v>41</v>
      </c>
      <c r="L99">
        <v>1.5</v>
      </c>
      <c r="M99">
        <v>72.963800918566605</v>
      </c>
      <c r="N99">
        <v>93.131890003804102</v>
      </c>
      <c r="O99">
        <v>0</v>
      </c>
      <c r="Q99">
        <v>5</v>
      </c>
      <c r="R99">
        <v>1</v>
      </c>
      <c r="S99">
        <v>0.2989</v>
      </c>
      <c r="T99">
        <v>95778</v>
      </c>
      <c r="U99">
        <v>115748</v>
      </c>
      <c r="V99">
        <v>0.82747002108027701</v>
      </c>
      <c r="W99">
        <f t="shared" si="4"/>
        <v>105763</v>
      </c>
      <c r="X99">
        <f t="shared" si="5"/>
        <v>31612.560699999998</v>
      </c>
      <c r="Y99">
        <f t="shared" si="6"/>
        <v>0.30416620532074445</v>
      </c>
      <c r="Z99">
        <f t="shared" si="7"/>
        <v>7.3352250939014443E-2</v>
      </c>
    </row>
    <row r="100" spans="1:26" x14ac:dyDescent="0.25">
      <c r="A100">
        <v>2</v>
      </c>
      <c r="B100" t="s">
        <v>51</v>
      </c>
      <c r="C100" t="s">
        <v>51</v>
      </c>
      <c r="D100" t="s">
        <v>24</v>
      </c>
      <c r="E100" t="s">
        <v>25</v>
      </c>
      <c r="F100">
        <v>9.5437222996575208</v>
      </c>
      <c r="G100">
        <v>4.1761351051154499E-2</v>
      </c>
      <c r="H100" t="s">
        <v>26</v>
      </c>
      <c r="I100">
        <v>50</v>
      </c>
      <c r="J100">
        <v>38.174889198629998</v>
      </c>
      <c r="K100" t="s">
        <v>53</v>
      </c>
      <c r="L100">
        <v>0.1</v>
      </c>
      <c r="M100">
        <v>83.522702102309097</v>
      </c>
      <c r="N100">
        <v>78.302408699060706</v>
      </c>
      <c r="O100">
        <v>0</v>
      </c>
      <c r="Q100">
        <v>5</v>
      </c>
      <c r="R100">
        <v>1</v>
      </c>
      <c r="S100">
        <v>3.9100000000000003E-2</v>
      </c>
      <c r="T100">
        <v>226043</v>
      </c>
      <c r="U100">
        <v>282398</v>
      </c>
      <c r="V100">
        <v>0.80044122125510797</v>
      </c>
      <c r="W100">
        <f t="shared" si="4"/>
        <v>254220.5</v>
      </c>
      <c r="X100">
        <f t="shared" si="5"/>
        <v>9940.0215500000013</v>
      </c>
      <c r="Y100">
        <f t="shared" si="6"/>
        <v>0.73111848945039681</v>
      </c>
      <c r="Z100">
        <f t="shared" si="7"/>
        <v>2.3064343379016791E-2</v>
      </c>
    </row>
    <row r="101" spans="1:26" x14ac:dyDescent="0.25">
      <c r="A101">
        <v>3</v>
      </c>
      <c r="B101" t="s">
        <v>51</v>
      </c>
      <c r="C101" t="s">
        <v>51</v>
      </c>
      <c r="D101" t="s">
        <v>24</v>
      </c>
      <c r="E101" t="s">
        <v>25</v>
      </c>
      <c r="F101">
        <v>1.59863610925483</v>
      </c>
      <c r="G101">
        <v>1.0411594762651299</v>
      </c>
      <c r="H101" t="s">
        <v>31</v>
      </c>
      <c r="I101">
        <v>4</v>
      </c>
      <c r="J101">
        <v>79.931805462741906</v>
      </c>
      <c r="K101" t="s">
        <v>43</v>
      </c>
      <c r="L101">
        <v>4</v>
      </c>
      <c r="M101">
        <v>52.057973813256801</v>
      </c>
      <c r="N101">
        <v>68.010220724001101</v>
      </c>
      <c r="O101">
        <v>0</v>
      </c>
      <c r="Q101">
        <v>5</v>
      </c>
      <c r="R101">
        <v>1</v>
      </c>
      <c r="S101">
        <v>0.2707</v>
      </c>
      <c r="T101">
        <v>64887</v>
      </c>
      <c r="U101">
        <v>80326</v>
      </c>
      <c r="V101">
        <v>0.80779573239050795</v>
      </c>
      <c r="W101">
        <f t="shared" si="4"/>
        <v>72606.5</v>
      </c>
      <c r="X101">
        <f t="shared" si="5"/>
        <v>19654.579549999999</v>
      </c>
      <c r="Y101">
        <f t="shared" si="6"/>
        <v>0.20881067657517877</v>
      </c>
      <c r="Z101">
        <f t="shared" si="7"/>
        <v>4.5605532083720805E-2</v>
      </c>
    </row>
    <row r="102" spans="1:26" x14ac:dyDescent="0.25">
      <c r="A102">
        <v>4</v>
      </c>
      <c r="B102" t="s">
        <v>51</v>
      </c>
      <c r="C102" t="s">
        <v>51</v>
      </c>
      <c r="D102" t="s">
        <v>24</v>
      </c>
      <c r="E102" t="s">
        <v>25</v>
      </c>
      <c r="F102">
        <v>2.1276712559647599</v>
      </c>
      <c r="G102">
        <v>18.157929979956801</v>
      </c>
      <c r="H102" t="s">
        <v>33</v>
      </c>
      <c r="I102">
        <v>10</v>
      </c>
      <c r="J102">
        <v>42.553425119295198</v>
      </c>
      <c r="K102" t="s">
        <v>28</v>
      </c>
      <c r="L102">
        <v>50</v>
      </c>
      <c r="M102">
        <v>72.631719919827304</v>
      </c>
      <c r="N102">
        <v>84.814854960877398</v>
      </c>
      <c r="O102">
        <v>0</v>
      </c>
      <c r="Q102">
        <v>5</v>
      </c>
      <c r="R102">
        <v>1</v>
      </c>
      <c r="S102">
        <v>0.36420000000000002</v>
      </c>
      <c r="T102">
        <v>85319</v>
      </c>
      <c r="U102">
        <v>113052</v>
      </c>
      <c r="V102">
        <v>0.75468810812723297</v>
      </c>
      <c r="W102">
        <f t="shared" si="4"/>
        <v>99185.5</v>
      </c>
      <c r="X102">
        <f t="shared" si="5"/>
        <v>36123.359100000001</v>
      </c>
      <c r="Y102">
        <f t="shared" si="6"/>
        <v>0.28524982420922912</v>
      </c>
      <c r="Z102">
        <f t="shared" si="7"/>
        <v>8.3818888530068719E-2</v>
      </c>
    </row>
    <row r="103" spans="1:26" x14ac:dyDescent="0.25">
      <c r="A103">
        <v>5</v>
      </c>
      <c r="B103" t="s">
        <v>51</v>
      </c>
      <c r="C103" t="s">
        <v>51</v>
      </c>
      <c r="D103" t="s">
        <v>24</v>
      </c>
      <c r="E103" t="s">
        <v>25</v>
      </c>
      <c r="F103">
        <v>8.8854426241795199</v>
      </c>
      <c r="G103">
        <v>20.948059129006001</v>
      </c>
      <c r="H103" t="s">
        <v>26</v>
      </c>
      <c r="I103">
        <v>50</v>
      </c>
      <c r="J103">
        <v>35.541770496718101</v>
      </c>
      <c r="K103" t="s">
        <v>28</v>
      </c>
      <c r="L103">
        <v>50</v>
      </c>
      <c r="M103">
        <v>83.792236516024204</v>
      </c>
      <c r="N103">
        <v>80.665992987257596</v>
      </c>
      <c r="O103">
        <v>0</v>
      </c>
      <c r="Q103">
        <v>5</v>
      </c>
      <c r="R103">
        <v>1</v>
      </c>
      <c r="S103">
        <v>2.2292000000000001</v>
      </c>
      <c r="T103">
        <v>24746</v>
      </c>
      <c r="U103">
        <v>31916</v>
      </c>
      <c r="V103">
        <v>0.77534778794335102</v>
      </c>
      <c r="W103">
        <f t="shared" si="4"/>
        <v>28331</v>
      </c>
      <c r="X103">
        <f t="shared" si="5"/>
        <v>63155.465199999999</v>
      </c>
      <c r="Y103">
        <f t="shared" si="6"/>
        <v>8.1477764085190585E-2</v>
      </c>
      <c r="Z103">
        <f t="shared" si="7"/>
        <v>0.14654287501362057</v>
      </c>
    </row>
    <row r="104" spans="1:26" x14ac:dyDescent="0.25">
      <c r="A104">
        <v>6</v>
      </c>
      <c r="B104" t="s">
        <v>51</v>
      </c>
      <c r="C104" t="s">
        <v>51</v>
      </c>
      <c r="D104" t="s">
        <v>24</v>
      </c>
      <c r="E104" t="s">
        <v>25</v>
      </c>
      <c r="F104">
        <v>1.11829397041983</v>
      </c>
      <c r="G104">
        <v>8.2725678879423796</v>
      </c>
      <c r="H104" t="s">
        <v>31</v>
      </c>
      <c r="I104">
        <v>4</v>
      </c>
      <c r="J104">
        <v>55.9146985209915</v>
      </c>
      <c r="K104" t="s">
        <v>28</v>
      </c>
      <c r="L104">
        <v>50</v>
      </c>
      <c r="M104">
        <v>33.090271551769497</v>
      </c>
      <c r="N104">
        <v>110.99502992723799</v>
      </c>
      <c r="O104">
        <v>0</v>
      </c>
      <c r="Q104">
        <v>5</v>
      </c>
      <c r="R104">
        <v>1</v>
      </c>
      <c r="S104">
        <v>9.5899999999999999E-2</v>
      </c>
      <c r="T104">
        <v>132647</v>
      </c>
      <c r="U104">
        <v>166895</v>
      </c>
      <c r="V104">
        <v>0.79479313340723201</v>
      </c>
      <c r="W104">
        <f t="shared" si="4"/>
        <v>149771</v>
      </c>
      <c r="X104">
        <f t="shared" si="5"/>
        <v>14363.0389</v>
      </c>
      <c r="Y104">
        <f t="shared" si="6"/>
        <v>0.43072980850669157</v>
      </c>
      <c r="Z104">
        <f t="shared" si="7"/>
        <v>3.3327298083752697E-2</v>
      </c>
    </row>
    <row r="105" spans="1:26" x14ac:dyDescent="0.25">
      <c r="A105">
        <v>7</v>
      </c>
      <c r="B105" t="s">
        <v>51</v>
      </c>
      <c r="C105" t="s">
        <v>51</v>
      </c>
      <c r="D105" t="s">
        <v>24</v>
      </c>
      <c r="E105" t="s">
        <v>25</v>
      </c>
      <c r="F105">
        <v>3.7688976406537602</v>
      </c>
      <c r="G105">
        <v>2.1789675810446401</v>
      </c>
      <c r="H105" t="s">
        <v>33</v>
      </c>
      <c r="I105">
        <v>10</v>
      </c>
      <c r="J105">
        <v>75.377952813075197</v>
      </c>
      <c r="K105" t="s">
        <v>47</v>
      </c>
      <c r="L105">
        <v>10</v>
      </c>
      <c r="M105">
        <v>43.579351620892901</v>
      </c>
      <c r="N105">
        <v>81.042695566031796</v>
      </c>
      <c r="O105">
        <v>0</v>
      </c>
      <c r="Q105">
        <v>5</v>
      </c>
      <c r="R105">
        <v>1</v>
      </c>
      <c r="S105">
        <v>0.49690000000000001</v>
      </c>
      <c r="T105">
        <v>39831</v>
      </c>
      <c r="U105">
        <v>50812</v>
      </c>
      <c r="V105">
        <v>0.78388963237030596</v>
      </c>
      <c r="W105">
        <f t="shared" si="4"/>
        <v>45321.5</v>
      </c>
      <c r="X105">
        <f t="shared" si="5"/>
        <v>22520.253349999999</v>
      </c>
      <c r="Y105">
        <f t="shared" si="6"/>
        <v>0.1303411275629863</v>
      </c>
      <c r="Z105">
        <f t="shared" si="7"/>
        <v>5.2254902429950276E-2</v>
      </c>
    </row>
    <row r="106" spans="1:26" x14ac:dyDescent="0.25">
      <c r="A106">
        <v>8</v>
      </c>
      <c r="B106" t="s">
        <v>51</v>
      </c>
      <c r="C106" t="s">
        <v>51</v>
      </c>
      <c r="D106" t="s">
        <v>24</v>
      </c>
      <c r="E106" t="s">
        <v>25</v>
      </c>
      <c r="F106">
        <v>0.44162386271694698</v>
      </c>
      <c r="G106">
        <v>0.84023559413292803</v>
      </c>
      <c r="H106" t="s">
        <v>58</v>
      </c>
      <c r="I106">
        <v>1.5</v>
      </c>
      <c r="J106">
        <v>58.883181695593002</v>
      </c>
      <c r="K106" t="s">
        <v>43</v>
      </c>
      <c r="L106">
        <v>4</v>
      </c>
      <c r="M106">
        <v>42.011779706646401</v>
      </c>
      <c r="N106">
        <v>99.105038597760498</v>
      </c>
      <c r="O106">
        <v>0</v>
      </c>
      <c r="Q106">
        <v>5</v>
      </c>
      <c r="R106">
        <v>1</v>
      </c>
      <c r="S106">
        <v>8.6099999999999996E-2</v>
      </c>
      <c r="T106">
        <v>145702</v>
      </c>
      <c r="U106">
        <v>169988</v>
      </c>
      <c r="V106">
        <v>0.85713109160646594</v>
      </c>
      <c r="W106">
        <f t="shared" si="4"/>
        <v>157845</v>
      </c>
      <c r="X106">
        <f t="shared" si="5"/>
        <v>13590.4545</v>
      </c>
      <c r="Y106">
        <f t="shared" si="6"/>
        <v>0.45395000783688916</v>
      </c>
      <c r="Z106">
        <f t="shared" si="7"/>
        <v>3.1534630753884421E-2</v>
      </c>
    </row>
    <row r="107" spans="1:26" x14ac:dyDescent="0.25">
      <c r="A107">
        <v>9</v>
      </c>
      <c r="B107" t="s">
        <v>51</v>
      </c>
      <c r="C107" t="s">
        <v>51</v>
      </c>
      <c r="D107" t="s">
        <v>24</v>
      </c>
      <c r="E107" t="s">
        <v>25</v>
      </c>
      <c r="F107">
        <v>1.33092906112105E-2</v>
      </c>
      <c r="G107">
        <v>5.0161353983366697</v>
      </c>
      <c r="H107" t="s">
        <v>52</v>
      </c>
      <c r="I107">
        <v>0.1</v>
      </c>
      <c r="J107">
        <v>26.618581222421099</v>
      </c>
      <c r="K107" t="s">
        <v>28</v>
      </c>
      <c r="L107">
        <v>50</v>
      </c>
      <c r="M107">
        <v>20.0645415933466</v>
      </c>
      <c r="N107">
        <v>153.316877184232</v>
      </c>
      <c r="O107">
        <v>0</v>
      </c>
      <c r="Q107">
        <v>5</v>
      </c>
      <c r="R107">
        <v>1</v>
      </c>
      <c r="S107">
        <v>3.7900000000000003E-2</v>
      </c>
      <c r="T107">
        <v>158305</v>
      </c>
      <c r="U107">
        <v>183057</v>
      </c>
      <c r="V107">
        <v>0.86478528545753497</v>
      </c>
      <c r="W107">
        <f t="shared" si="4"/>
        <v>170681</v>
      </c>
      <c r="X107">
        <f t="shared" si="5"/>
        <v>6468.8099000000002</v>
      </c>
      <c r="Y107">
        <f t="shared" si="6"/>
        <v>0.49086535074033438</v>
      </c>
      <c r="Z107">
        <f t="shared" si="7"/>
        <v>1.5009912406797875E-2</v>
      </c>
    </row>
    <row r="108" spans="1:26" x14ac:dyDescent="0.25">
      <c r="A108">
        <v>10</v>
      </c>
      <c r="B108" t="s">
        <v>51</v>
      </c>
      <c r="C108" t="s">
        <v>51</v>
      </c>
      <c r="D108" t="s">
        <v>24</v>
      </c>
      <c r="E108" t="s">
        <v>25</v>
      </c>
      <c r="F108">
        <v>0.474341649025257</v>
      </c>
      <c r="G108">
        <v>0.16237170601161299</v>
      </c>
      <c r="H108" t="s">
        <v>58</v>
      </c>
      <c r="I108">
        <v>1.5</v>
      </c>
      <c r="J108">
        <v>63.245553203367599</v>
      </c>
      <c r="K108" t="s">
        <v>54</v>
      </c>
      <c r="L108">
        <v>0.7</v>
      </c>
      <c r="M108">
        <v>46.391916003318002</v>
      </c>
      <c r="N108">
        <v>90.362530793314306</v>
      </c>
      <c r="O108">
        <v>0</v>
      </c>
      <c r="Q108">
        <v>5</v>
      </c>
      <c r="R108">
        <v>1</v>
      </c>
      <c r="S108">
        <v>5.1400000000000001E-2</v>
      </c>
      <c r="T108">
        <v>213223</v>
      </c>
      <c r="U108">
        <v>243944</v>
      </c>
      <c r="V108">
        <v>0.87406535926278095</v>
      </c>
      <c r="W108">
        <f t="shared" si="4"/>
        <v>228583.5</v>
      </c>
      <c r="X108">
        <f t="shared" si="5"/>
        <v>11749.1919</v>
      </c>
      <c r="Y108">
        <f t="shared" si="6"/>
        <v>0.65738846093562386</v>
      </c>
      <c r="Z108">
        <f t="shared" si="7"/>
        <v>2.72622544171006E-2</v>
      </c>
    </row>
    <row r="109" spans="1:26" x14ac:dyDescent="0.25">
      <c r="A109">
        <v>11</v>
      </c>
      <c r="B109" t="s">
        <v>51</v>
      </c>
      <c r="C109" t="s">
        <v>51</v>
      </c>
      <c r="D109" t="s">
        <v>24</v>
      </c>
      <c r="E109" t="s">
        <v>25</v>
      </c>
      <c r="F109">
        <v>6.51895399880868</v>
      </c>
      <c r="G109">
        <v>9.0996630081090508</v>
      </c>
      <c r="H109" t="s">
        <v>26</v>
      </c>
      <c r="I109">
        <v>50</v>
      </c>
      <c r="J109">
        <v>26.075815995234699</v>
      </c>
      <c r="K109" t="s">
        <v>28</v>
      </c>
      <c r="L109">
        <v>50</v>
      </c>
      <c r="M109">
        <v>36.398652032436203</v>
      </c>
      <c r="N109">
        <v>137.52553197232899</v>
      </c>
      <c r="O109">
        <v>0</v>
      </c>
      <c r="Q109">
        <v>5</v>
      </c>
      <c r="R109">
        <v>1</v>
      </c>
      <c r="S109">
        <v>1.7679</v>
      </c>
      <c r="T109">
        <v>25909</v>
      </c>
      <c r="U109">
        <v>33844</v>
      </c>
      <c r="V109">
        <v>0.76554189812078899</v>
      </c>
      <c r="W109">
        <f t="shared" si="4"/>
        <v>29876.5</v>
      </c>
      <c r="X109">
        <f t="shared" si="5"/>
        <v>52818.664349999999</v>
      </c>
      <c r="Y109">
        <f t="shared" si="6"/>
        <v>8.5922502512837395E-2</v>
      </c>
      <c r="Z109">
        <f t="shared" si="7"/>
        <v>0.12255786421201798</v>
      </c>
    </row>
    <row r="110" spans="1:26" x14ac:dyDescent="0.25">
      <c r="A110">
        <v>12</v>
      </c>
      <c r="B110" t="s">
        <v>51</v>
      </c>
      <c r="C110" t="s">
        <v>51</v>
      </c>
      <c r="D110" t="s">
        <v>24</v>
      </c>
      <c r="E110" t="s">
        <v>25</v>
      </c>
      <c r="F110">
        <v>5.7869096884636599</v>
      </c>
      <c r="G110">
        <v>8.5341802353406299E-2</v>
      </c>
      <c r="H110" t="s">
        <v>26</v>
      </c>
      <c r="I110">
        <v>50</v>
      </c>
      <c r="J110">
        <v>23.147638753854601</v>
      </c>
      <c r="K110" t="s">
        <v>56</v>
      </c>
      <c r="L110">
        <v>0.3</v>
      </c>
      <c r="M110">
        <v>56.894534902270799</v>
      </c>
      <c r="N110">
        <v>119.957826343874</v>
      </c>
      <c r="O110">
        <v>0</v>
      </c>
      <c r="Q110">
        <v>5</v>
      </c>
      <c r="R110">
        <v>1</v>
      </c>
      <c r="S110">
        <v>3.85E-2</v>
      </c>
      <c r="T110">
        <v>136855</v>
      </c>
      <c r="U110">
        <v>153957</v>
      </c>
      <c r="V110">
        <v>0.88891703527608301</v>
      </c>
      <c r="W110">
        <f t="shared" si="4"/>
        <v>145406</v>
      </c>
      <c r="X110">
        <f t="shared" si="5"/>
        <v>5598.1310000000003</v>
      </c>
      <c r="Y110">
        <f t="shared" si="6"/>
        <v>0.41817640621831992</v>
      </c>
      <c r="Z110">
        <f t="shared" si="7"/>
        <v>1.2989631361988208E-2</v>
      </c>
    </row>
    <row r="111" spans="1:26" x14ac:dyDescent="0.25">
      <c r="A111">
        <v>13</v>
      </c>
      <c r="B111" t="s">
        <v>51</v>
      </c>
      <c r="C111" t="s">
        <v>51</v>
      </c>
      <c r="D111" t="s">
        <v>24</v>
      </c>
      <c r="E111" t="s">
        <v>25</v>
      </c>
      <c r="F111">
        <v>5.7869096884636599</v>
      </c>
      <c r="G111">
        <v>5.5581395745659901E-2</v>
      </c>
      <c r="H111" t="s">
        <v>26</v>
      </c>
      <c r="I111">
        <v>50</v>
      </c>
      <c r="J111">
        <v>23.147638753854601</v>
      </c>
      <c r="K111" t="s">
        <v>56</v>
      </c>
      <c r="L111">
        <v>0.3</v>
      </c>
      <c r="M111">
        <v>37.054263830439901</v>
      </c>
      <c r="N111">
        <v>139.798097415705</v>
      </c>
      <c r="O111">
        <v>0</v>
      </c>
      <c r="Q111">
        <v>5</v>
      </c>
      <c r="R111">
        <v>1</v>
      </c>
      <c r="S111">
        <v>5.1299999999999998E-2</v>
      </c>
      <c r="T111">
        <v>134234</v>
      </c>
      <c r="U111">
        <v>150226</v>
      </c>
      <c r="V111">
        <v>0.89354705576930704</v>
      </c>
      <c r="W111">
        <f t="shared" si="4"/>
        <v>142230</v>
      </c>
      <c r="X111">
        <f t="shared" si="5"/>
        <v>7296.3989999999994</v>
      </c>
      <c r="Y111">
        <f t="shared" si="6"/>
        <v>0.40904247593931226</v>
      </c>
      <c r="Z111">
        <f t="shared" si="7"/>
        <v>1.6930209971860143E-2</v>
      </c>
    </row>
    <row r="112" spans="1:26" x14ac:dyDescent="0.25">
      <c r="A112">
        <v>14</v>
      </c>
      <c r="B112" t="s">
        <v>51</v>
      </c>
      <c r="C112" t="s">
        <v>51</v>
      </c>
      <c r="D112" t="s">
        <v>24</v>
      </c>
      <c r="E112" t="s">
        <v>25</v>
      </c>
      <c r="F112">
        <v>1.25975820304315</v>
      </c>
      <c r="G112">
        <v>0.40148337163756997</v>
      </c>
      <c r="H112" t="s">
        <v>31</v>
      </c>
      <c r="I112">
        <v>4</v>
      </c>
      <c r="J112">
        <v>62.987910152157603</v>
      </c>
      <c r="K112" t="s">
        <v>41</v>
      </c>
      <c r="L112">
        <v>1.5</v>
      </c>
      <c r="M112">
        <v>53.531116218342703</v>
      </c>
      <c r="N112">
        <v>83.480973629499601</v>
      </c>
      <c r="O112">
        <v>0</v>
      </c>
      <c r="Q112">
        <v>5</v>
      </c>
      <c r="R112">
        <v>1</v>
      </c>
      <c r="S112">
        <v>7.9799999999999996E-2</v>
      </c>
      <c r="T112">
        <v>180319</v>
      </c>
      <c r="U112">
        <v>215775</v>
      </c>
      <c r="V112">
        <v>0.83568068589966404</v>
      </c>
      <c r="W112">
        <f t="shared" si="4"/>
        <v>198047</v>
      </c>
      <c r="X112">
        <f t="shared" si="5"/>
        <v>15804.150599999999</v>
      </c>
      <c r="Y112">
        <f t="shared" si="6"/>
        <v>0.56956784948571315</v>
      </c>
      <c r="Z112">
        <f t="shared" si="7"/>
        <v>3.6671183701014631E-2</v>
      </c>
    </row>
    <row r="113" spans="1:26" x14ac:dyDescent="0.25">
      <c r="A113">
        <v>15</v>
      </c>
      <c r="B113" t="s">
        <v>51</v>
      </c>
      <c r="C113" t="s">
        <v>51</v>
      </c>
      <c r="D113" t="s">
        <v>24</v>
      </c>
      <c r="E113" t="s">
        <v>25</v>
      </c>
      <c r="F113">
        <v>16.905484039132698</v>
      </c>
      <c r="G113">
        <v>13.6430486871044</v>
      </c>
      <c r="H113" t="s">
        <v>26</v>
      </c>
      <c r="I113">
        <v>50</v>
      </c>
      <c r="J113">
        <v>67.621936156531106</v>
      </c>
      <c r="K113" t="s">
        <v>28</v>
      </c>
      <c r="L113">
        <v>50</v>
      </c>
      <c r="M113">
        <v>54.5721947484179</v>
      </c>
      <c r="N113">
        <v>77.805869095050895</v>
      </c>
      <c r="O113">
        <v>0</v>
      </c>
      <c r="Q113">
        <v>5</v>
      </c>
      <c r="R113">
        <v>1</v>
      </c>
      <c r="S113">
        <v>2.7599</v>
      </c>
      <c r="T113">
        <v>57344</v>
      </c>
      <c r="U113">
        <v>81348</v>
      </c>
      <c r="V113">
        <v>0.70492206323449802</v>
      </c>
      <c r="W113">
        <f t="shared" si="4"/>
        <v>69346</v>
      </c>
      <c r="X113">
        <f t="shared" si="5"/>
        <v>191388.02540000001</v>
      </c>
      <c r="Y113">
        <f t="shared" si="6"/>
        <v>0.19943373083377311</v>
      </c>
      <c r="Z113">
        <f t="shared" si="7"/>
        <v>0.44408748152639438</v>
      </c>
    </row>
    <row r="114" spans="1:26" x14ac:dyDescent="0.25">
      <c r="A114">
        <v>16</v>
      </c>
      <c r="B114" t="s">
        <v>51</v>
      </c>
      <c r="C114" t="s">
        <v>51</v>
      </c>
      <c r="D114" t="s">
        <v>24</v>
      </c>
      <c r="E114" t="s">
        <v>25</v>
      </c>
      <c r="F114">
        <v>20.948059129006001</v>
      </c>
      <c r="G114">
        <v>8.8854426241795199</v>
      </c>
      <c r="H114" t="s">
        <v>26</v>
      </c>
      <c r="I114">
        <v>50</v>
      </c>
      <c r="J114">
        <v>83.792236516024204</v>
      </c>
      <c r="K114" t="s">
        <v>28</v>
      </c>
      <c r="L114">
        <v>50</v>
      </c>
      <c r="M114">
        <v>35.541770496718101</v>
      </c>
      <c r="N114">
        <v>80.665992987257596</v>
      </c>
      <c r="O114">
        <v>0</v>
      </c>
      <c r="Q114">
        <v>5</v>
      </c>
      <c r="R114">
        <v>1</v>
      </c>
      <c r="S114">
        <v>2.4218000000000002</v>
      </c>
      <c r="T114">
        <v>44922</v>
      </c>
      <c r="U114">
        <v>60484</v>
      </c>
      <c r="V114">
        <v>0.74270881555452595</v>
      </c>
      <c r="W114">
        <f t="shared" si="4"/>
        <v>52703</v>
      </c>
      <c r="X114">
        <f t="shared" si="5"/>
        <v>127636.1254</v>
      </c>
      <c r="Y114">
        <f t="shared" si="6"/>
        <v>0.15156975047057283</v>
      </c>
      <c r="Z114">
        <f t="shared" si="7"/>
        <v>0.29616066816201686</v>
      </c>
    </row>
    <row r="115" spans="1:26" x14ac:dyDescent="0.25">
      <c r="A115">
        <v>17</v>
      </c>
      <c r="B115" t="s">
        <v>51</v>
      </c>
      <c r="C115" t="s">
        <v>51</v>
      </c>
      <c r="D115" t="s">
        <v>24</v>
      </c>
      <c r="E115" t="s">
        <v>25</v>
      </c>
      <c r="F115">
        <v>13.6430486871044</v>
      </c>
      <c r="G115">
        <v>16.905484039132698</v>
      </c>
      <c r="H115" t="s">
        <v>26</v>
      </c>
      <c r="I115">
        <v>50</v>
      </c>
      <c r="J115">
        <v>54.5721947484179</v>
      </c>
      <c r="K115" t="s">
        <v>28</v>
      </c>
      <c r="L115">
        <v>50</v>
      </c>
      <c r="M115">
        <v>67.621936156531106</v>
      </c>
      <c r="N115">
        <v>77.805869095050895</v>
      </c>
      <c r="O115">
        <v>0</v>
      </c>
      <c r="Q115">
        <v>5</v>
      </c>
      <c r="R115">
        <v>1</v>
      </c>
      <c r="S115">
        <v>2.6585000000000001</v>
      </c>
      <c r="T115">
        <v>31549</v>
      </c>
      <c r="U115">
        <v>42772</v>
      </c>
      <c r="V115">
        <v>0.73760871598241795</v>
      </c>
      <c r="W115">
        <f t="shared" si="4"/>
        <v>37160.5</v>
      </c>
      <c r="X115">
        <f t="shared" si="5"/>
        <v>98791.18925000001</v>
      </c>
      <c r="Y115">
        <f t="shared" si="6"/>
        <v>0.10687072296381082</v>
      </c>
      <c r="Z115">
        <f t="shared" si="7"/>
        <v>0.22923027885019345</v>
      </c>
    </row>
    <row r="116" spans="1:26" x14ac:dyDescent="0.25">
      <c r="A116">
        <v>18</v>
      </c>
      <c r="B116" t="s">
        <v>51</v>
      </c>
      <c r="C116" t="s">
        <v>51</v>
      </c>
      <c r="D116" t="s">
        <v>24</v>
      </c>
      <c r="E116" t="s">
        <v>25</v>
      </c>
      <c r="F116">
        <v>1.59863610925483</v>
      </c>
      <c r="G116">
        <v>4.0481171259102302</v>
      </c>
      <c r="H116" t="s">
        <v>31</v>
      </c>
      <c r="I116">
        <v>4</v>
      </c>
      <c r="J116">
        <v>79.931805462741906</v>
      </c>
      <c r="K116" t="s">
        <v>47</v>
      </c>
      <c r="L116">
        <v>10</v>
      </c>
      <c r="M116">
        <v>80.962342518204593</v>
      </c>
      <c r="N116">
        <v>39.105852019053302</v>
      </c>
      <c r="O116">
        <v>0</v>
      </c>
      <c r="Q116">
        <v>5</v>
      </c>
      <c r="R116">
        <v>1</v>
      </c>
      <c r="S116">
        <v>0.1411</v>
      </c>
      <c r="T116">
        <v>64859</v>
      </c>
      <c r="U116">
        <v>80441</v>
      </c>
      <c r="V116">
        <v>0.80629281088002303</v>
      </c>
      <c r="W116">
        <f t="shared" si="4"/>
        <v>72650</v>
      </c>
      <c r="X116">
        <f t="shared" si="5"/>
        <v>10250.915000000001</v>
      </c>
      <c r="Y116">
        <f t="shared" si="6"/>
        <v>0.20893577920966769</v>
      </c>
      <c r="Z116">
        <f t="shared" si="7"/>
        <v>2.3785725445345126E-2</v>
      </c>
    </row>
    <row r="117" spans="1:26" x14ac:dyDescent="0.25">
      <c r="A117">
        <v>19</v>
      </c>
      <c r="B117" t="s">
        <v>51</v>
      </c>
      <c r="C117" t="s">
        <v>51</v>
      </c>
      <c r="D117" t="s">
        <v>24</v>
      </c>
      <c r="E117" t="s">
        <v>25</v>
      </c>
      <c r="F117">
        <v>8.8854426241795306</v>
      </c>
      <c r="G117">
        <v>0.187321578074338</v>
      </c>
      <c r="H117" t="s">
        <v>26</v>
      </c>
      <c r="I117">
        <v>50</v>
      </c>
      <c r="J117">
        <v>35.541770496718101</v>
      </c>
      <c r="K117" t="s">
        <v>54</v>
      </c>
      <c r="L117">
        <v>0.7</v>
      </c>
      <c r="M117">
        <v>53.520450878382498</v>
      </c>
      <c r="N117">
        <v>110.937778624899</v>
      </c>
      <c r="O117">
        <v>0</v>
      </c>
      <c r="Q117">
        <v>5</v>
      </c>
      <c r="R117">
        <v>1</v>
      </c>
      <c r="S117">
        <v>3.8600000000000002E-2</v>
      </c>
      <c r="T117">
        <v>193124</v>
      </c>
      <c r="U117">
        <v>235472</v>
      </c>
      <c r="V117">
        <v>0.82015696133722904</v>
      </c>
      <c r="W117">
        <f t="shared" si="4"/>
        <v>214298</v>
      </c>
      <c r="X117">
        <f t="shared" si="5"/>
        <v>8271.9027999999998</v>
      </c>
      <c r="Y117">
        <f t="shared" si="6"/>
        <v>0.61630446817719708</v>
      </c>
      <c r="Z117">
        <f t="shared" si="7"/>
        <v>1.9193721624984849E-2</v>
      </c>
    </row>
    <row r="118" spans="1:26" x14ac:dyDescent="0.25">
      <c r="A118">
        <v>20</v>
      </c>
      <c r="B118" t="s">
        <v>51</v>
      </c>
      <c r="C118" t="s">
        <v>51</v>
      </c>
      <c r="D118" t="s">
        <v>24</v>
      </c>
      <c r="E118" t="s">
        <v>25</v>
      </c>
      <c r="F118">
        <v>21.453098828095701</v>
      </c>
      <c r="G118">
        <v>1.25975820304315</v>
      </c>
      <c r="H118" t="s">
        <v>26</v>
      </c>
      <c r="I118">
        <v>50</v>
      </c>
      <c r="J118">
        <v>85.812395312382804</v>
      </c>
      <c r="K118" t="s">
        <v>43</v>
      </c>
      <c r="L118">
        <v>4</v>
      </c>
      <c r="M118">
        <v>62.987910152157603</v>
      </c>
      <c r="N118">
        <v>51.1996945354594</v>
      </c>
      <c r="O118">
        <v>0</v>
      </c>
      <c r="Q118">
        <v>5</v>
      </c>
      <c r="R118">
        <v>1</v>
      </c>
      <c r="S118">
        <v>4.0099999999999997E-2</v>
      </c>
      <c r="T118">
        <v>258612</v>
      </c>
      <c r="U118">
        <v>335629</v>
      </c>
      <c r="V118">
        <v>0.770529364268284</v>
      </c>
      <c r="W118">
        <f t="shared" si="4"/>
        <v>297120.5</v>
      </c>
      <c r="X118">
        <f t="shared" si="5"/>
        <v>11914.53205</v>
      </c>
      <c r="Y118">
        <f t="shared" si="6"/>
        <v>0.85449557036016621</v>
      </c>
      <c r="Z118">
        <f t="shared" si="7"/>
        <v>2.7645901673271606E-2</v>
      </c>
    </row>
    <row r="119" spans="1:26" x14ac:dyDescent="0.25">
      <c r="A119">
        <v>21</v>
      </c>
      <c r="B119" t="s">
        <v>51</v>
      </c>
      <c r="C119" t="s">
        <v>51</v>
      </c>
      <c r="D119" t="s">
        <v>24</v>
      </c>
      <c r="E119" t="s">
        <v>25</v>
      </c>
      <c r="F119">
        <v>1.5242532640891699</v>
      </c>
      <c r="G119">
        <v>0.646535549636162</v>
      </c>
      <c r="H119" t="s">
        <v>31</v>
      </c>
      <c r="I119">
        <v>4</v>
      </c>
      <c r="J119">
        <v>76.212663204458806</v>
      </c>
      <c r="K119" t="s">
        <v>41</v>
      </c>
      <c r="L119">
        <v>1.5</v>
      </c>
      <c r="M119">
        <v>86.204739951488193</v>
      </c>
      <c r="N119">
        <v>37.582596844052802</v>
      </c>
      <c r="O119">
        <v>0</v>
      </c>
      <c r="Q119">
        <v>5</v>
      </c>
      <c r="R119">
        <v>1</v>
      </c>
      <c r="S119">
        <v>9.0800000000000006E-2</v>
      </c>
      <c r="T119">
        <v>149838</v>
      </c>
      <c r="U119">
        <v>174271</v>
      </c>
      <c r="V119">
        <v>0.85979881908062705</v>
      </c>
      <c r="W119">
        <f t="shared" si="4"/>
        <v>162054.5</v>
      </c>
      <c r="X119">
        <f t="shared" si="5"/>
        <v>14714.5486</v>
      </c>
      <c r="Y119">
        <f t="shared" si="6"/>
        <v>0.4660562041559958</v>
      </c>
      <c r="Z119">
        <f t="shared" si="7"/>
        <v>3.4142924124508638E-2</v>
      </c>
    </row>
    <row r="120" spans="1:26" x14ac:dyDescent="0.25">
      <c r="A120">
        <v>22</v>
      </c>
      <c r="B120" t="s">
        <v>51</v>
      </c>
      <c r="C120" t="s">
        <v>51</v>
      </c>
      <c r="D120" t="s">
        <v>24</v>
      </c>
      <c r="E120" t="s">
        <v>25</v>
      </c>
      <c r="F120">
        <v>2.4144096963404402E-2</v>
      </c>
      <c r="G120">
        <v>6.2156339729889902</v>
      </c>
      <c r="H120" t="s">
        <v>52</v>
      </c>
      <c r="I120">
        <v>0.1</v>
      </c>
      <c r="J120">
        <v>48.288193926808802</v>
      </c>
      <c r="K120" t="s">
        <v>28</v>
      </c>
      <c r="L120">
        <v>50</v>
      </c>
      <c r="M120">
        <v>24.862535891955901</v>
      </c>
      <c r="N120">
        <v>126.849270181235</v>
      </c>
      <c r="O120">
        <v>0</v>
      </c>
      <c r="Q120">
        <v>5</v>
      </c>
      <c r="R120">
        <v>1</v>
      </c>
      <c r="S120">
        <v>3.8300000000000001E-2</v>
      </c>
      <c r="T120">
        <v>190404</v>
      </c>
      <c r="U120">
        <v>230030</v>
      </c>
      <c r="V120">
        <v>0.82773551275920498</v>
      </c>
      <c r="W120">
        <f t="shared" si="4"/>
        <v>210217</v>
      </c>
      <c r="X120">
        <f t="shared" si="5"/>
        <v>8051.3110999999999</v>
      </c>
      <c r="Y120">
        <f t="shared" si="6"/>
        <v>0.60456782791629338</v>
      </c>
      <c r="Z120">
        <f t="shared" si="7"/>
        <v>1.8681871354865359E-2</v>
      </c>
    </row>
    <row r="121" spans="1:26" x14ac:dyDescent="0.25">
      <c r="A121">
        <v>23</v>
      </c>
      <c r="B121" t="s">
        <v>51</v>
      </c>
      <c r="C121" t="s">
        <v>51</v>
      </c>
      <c r="D121" t="s">
        <v>24</v>
      </c>
      <c r="E121" t="s">
        <v>25</v>
      </c>
      <c r="F121">
        <v>2.1276712559647599</v>
      </c>
      <c r="G121">
        <v>2.4741767868214102</v>
      </c>
      <c r="H121" t="s">
        <v>33</v>
      </c>
      <c r="I121">
        <v>10</v>
      </c>
      <c r="J121">
        <v>42.553425119295198</v>
      </c>
      <c r="K121" t="s">
        <v>47</v>
      </c>
      <c r="L121">
        <v>10</v>
      </c>
      <c r="M121">
        <v>49.483535736428301</v>
      </c>
      <c r="N121">
        <v>107.963039144276</v>
      </c>
      <c r="O121">
        <v>0</v>
      </c>
      <c r="Q121">
        <v>5</v>
      </c>
      <c r="R121">
        <v>1</v>
      </c>
      <c r="S121">
        <v>0.64559999999999995</v>
      </c>
      <c r="T121">
        <v>45509</v>
      </c>
      <c r="U121">
        <v>59868</v>
      </c>
      <c r="V121">
        <v>0.76015567582013699</v>
      </c>
      <c r="W121">
        <f t="shared" si="4"/>
        <v>52688.5</v>
      </c>
      <c r="X121">
        <f t="shared" si="5"/>
        <v>34015.695599999999</v>
      </c>
      <c r="Y121">
        <f t="shared" si="6"/>
        <v>0.15152804959240987</v>
      </c>
      <c r="Z121">
        <f t="shared" si="7"/>
        <v>7.8928368479695143E-2</v>
      </c>
    </row>
    <row r="122" spans="1:26" x14ac:dyDescent="0.25">
      <c r="A122">
        <v>24</v>
      </c>
      <c r="B122" t="s">
        <v>51</v>
      </c>
      <c r="C122" t="s">
        <v>51</v>
      </c>
      <c r="D122" t="s">
        <v>24</v>
      </c>
      <c r="E122" t="s">
        <v>25</v>
      </c>
      <c r="F122">
        <v>9.5437222996575208</v>
      </c>
      <c r="G122">
        <v>0.11358388488059699</v>
      </c>
      <c r="H122" t="s">
        <v>26</v>
      </c>
      <c r="I122">
        <v>50</v>
      </c>
      <c r="J122">
        <v>38.174889198629998</v>
      </c>
      <c r="K122" t="s">
        <v>56</v>
      </c>
      <c r="L122">
        <v>0.3</v>
      </c>
      <c r="M122">
        <v>75.722589920398505</v>
      </c>
      <c r="N122">
        <v>86.102520880971397</v>
      </c>
      <c r="O122">
        <v>0</v>
      </c>
      <c r="Q122">
        <v>5</v>
      </c>
      <c r="R122">
        <v>1</v>
      </c>
      <c r="S122">
        <v>3.9399999999999998E-2</v>
      </c>
      <c r="T122">
        <v>239200</v>
      </c>
      <c r="U122">
        <v>298410</v>
      </c>
      <c r="V122">
        <v>0.80158171643041398</v>
      </c>
      <c r="W122">
        <f t="shared" si="4"/>
        <v>268805</v>
      </c>
      <c r="X122">
        <f t="shared" si="5"/>
        <v>10590.916999999999</v>
      </c>
      <c r="Y122">
        <f t="shared" si="6"/>
        <v>0.77306238307577047</v>
      </c>
      <c r="Z122">
        <f t="shared" si="7"/>
        <v>2.4574649577763372E-2</v>
      </c>
    </row>
    <row r="123" spans="1:26" x14ac:dyDescent="0.25">
      <c r="A123">
        <v>25</v>
      </c>
      <c r="B123" t="s">
        <v>51</v>
      </c>
      <c r="C123" t="s">
        <v>51</v>
      </c>
      <c r="D123" t="s">
        <v>24</v>
      </c>
      <c r="E123" t="s">
        <v>25</v>
      </c>
      <c r="F123">
        <v>1.25975820304315</v>
      </c>
      <c r="G123">
        <v>21.453098828095701</v>
      </c>
      <c r="H123" t="s">
        <v>31</v>
      </c>
      <c r="I123">
        <v>4</v>
      </c>
      <c r="J123">
        <v>62.987910152157603</v>
      </c>
      <c r="K123" t="s">
        <v>28</v>
      </c>
      <c r="L123">
        <v>50</v>
      </c>
      <c r="M123">
        <v>85.812395312382804</v>
      </c>
      <c r="N123">
        <v>51.1996945354594</v>
      </c>
      <c r="O123">
        <v>0</v>
      </c>
      <c r="Q123">
        <v>5</v>
      </c>
      <c r="R123">
        <v>1</v>
      </c>
      <c r="S123">
        <v>0.53520000000000001</v>
      </c>
      <c r="T123">
        <v>86609</v>
      </c>
      <c r="U123">
        <v>114028</v>
      </c>
      <c r="V123">
        <v>0.75954151611884801</v>
      </c>
      <c r="W123">
        <f t="shared" si="4"/>
        <v>100318.5</v>
      </c>
      <c r="X123">
        <f t="shared" si="5"/>
        <v>53690.461199999998</v>
      </c>
      <c r="Y123">
        <f t="shared" si="6"/>
        <v>0.28850824455120511</v>
      </c>
      <c r="Z123">
        <f t="shared" si="7"/>
        <v>0.12458073929372696</v>
      </c>
    </row>
    <row r="124" spans="1:26" x14ac:dyDescent="0.25">
      <c r="A124">
        <v>26</v>
      </c>
      <c r="B124" t="s">
        <v>51</v>
      </c>
      <c r="C124" t="s">
        <v>51</v>
      </c>
      <c r="D124" t="s">
        <v>24</v>
      </c>
      <c r="E124" t="s">
        <v>25</v>
      </c>
      <c r="F124">
        <v>0.38280277553679398</v>
      </c>
      <c r="G124">
        <v>0.26778203824153102</v>
      </c>
      <c r="H124" t="s">
        <v>58</v>
      </c>
      <c r="I124">
        <v>1.5</v>
      </c>
      <c r="J124">
        <v>51.040370071572603</v>
      </c>
      <c r="K124" t="s">
        <v>54</v>
      </c>
      <c r="L124">
        <v>0.7</v>
      </c>
      <c r="M124">
        <v>76.509153783294806</v>
      </c>
      <c r="N124">
        <v>72.450476145132498</v>
      </c>
      <c r="O124">
        <v>0</v>
      </c>
      <c r="Q124">
        <v>5</v>
      </c>
      <c r="R124">
        <v>1</v>
      </c>
      <c r="S124">
        <v>6.6100000000000006E-2</v>
      </c>
      <c r="T124">
        <v>218839</v>
      </c>
      <c r="U124">
        <v>254969</v>
      </c>
      <c r="V124">
        <v>0.85829649879004899</v>
      </c>
      <c r="W124">
        <f t="shared" si="4"/>
        <v>236904</v>
      </c>
      <c r="X124">
        <f t="shared" si="5"/>
        <v>15659.354400000002</v>
      </c>
      <c r="Y124">
        <f t="shared" si="6"/>
        <v>0.68131757519459213</v>
      </c>
      <c r="Z124">
        <f t="shared" si="7"/>
        <v>3.6335205628937238E-2</v>
      </c>
    </row>
    <row r="125" spans="1:26" x14ac:dyDescent="0.25">
      <c r="A125">
        <v>27</v>
      </c>
      <c r="B125" t="s">
        <v>51</v>
      </c>
      <c r="C125" t="s">
        <v>51</v>
      </c>
      <c r="D125" t="s">
        <v>24</v>
      </c>
      <c r="E125" t="s">
        <v>25</v>
      </c>
      <c r="F125">
        <v>0.58777003297452102</v>
      </c>
      <c r="G125">
        <v>0.26778203824153102</v>
      </c>
      <c r="H125" t="s">
        <v>58</v>
      </c>
      <c r="I125">
        <v>1.5</v>
      </c>
      <c r="J125">
        <v>78.369337729936206</v>
      </c>
      <c r="K125" t="s">
        <v>54</v>
      </c>
      <c r="L125">
        <v>0.7</v>
      </c>
      <c r="M125">
        <v>76.509153783294806</v>
      </c>
      <c r="N125">
        <v>45.121508486768903</v>
      </c>
      <c r="O125">
        <v>0</v>
      </c>
      <c r="Q125">
        <v>5</v>
      </c>
      <c r="R125">
        <v>1</v>
      </c>
      <c r="S125">
        <v>5.5500000000000001E-2</v>
      </c>
      <c r="T125">
        <v>216397</v>
      </c>
      <c r="U125">
        <v>252071</v>
      </c>
      <c r="V125">
        <v>0.85847638165437501</v>
      </c>
      <c r="W125">
        <f t="shared" si="4"/>
        <v>234234</v>
      </c>
      <c r="X125">
        <f t="shared" si="5"/>
        <v>12999.987000000001</v>
      </c>
      <c r="Y125">
        <f t="shared" si="6"/>
        <v>0.67363886176734078</v>
      </c>
      <c r="Z125">
        <f t="shared" si="7"/>
        <v>3.0164538636312545E-2</v>
      </c>
    </row>
    <row r="126" spans="1:26" x14ac:dyDescent="0.25">
      <c r="A126">
        <v>28</v>
      </c>
      <c r="B126" t="s">
        <v>51</v>
      </c>
      <c r="C126" t="s">
        <v>51</v>
      </c>
      <c r="D126" t="s">
        <v>24</v>
      </c>
      <c r="E126" t="s">
        <v>25</v>
      </c>
      <c r="F126">
        <v>0.26778203824153102</v>
      </c>
      <c r="G126">
        <v>0.58777003297452102</v>
      </c>
      <c r="H126" t="s">
        <v>55</v>
      </c>
      <c r="I126">
        <v>0.7</v>
      </c>
      <c r="J126">
        <v>76.509153783294806</v>
      </c>
      <c r="K126" t="s">
        <v>41</v>
      </c>
      <c r="L126">
        <v>1.5</v>
      </c>
      <c r="M126">
        <v>78.369337729936206</v>
      </c>
      <c r="N126">
        <v>45.121508486768903</v>
      </c>
      <c r="O126">
        <v>0</v>
      </c>
      <c r="Q126">
        <v>5</v>
      </c>
      <c r="R126">
        <v>1</v>
      </c>
      <c r="S126">
        <v>5.9200000000000003E-2</v>
      </c>
      <c r="T126">
        <v>206813</v>
      </c>
      <c r="U126">
        <v>239667</v>
      </c>
      <c r="V126">
        <v>0.86291813224181801</v>
      </c>
      <c r="W126">
        <f t="shared" si="4"/>
        <v>223240</v>
      </c>
      <c r="X126">
        <f t="shared" si="5"/>
        <v>13215.808000000001</v>
      </c>
      <c r="Y126">
        <f t="shared" si="6"/>
        <v>0.64202096835190936</v>
      </c>
      <c r="Z126">
        <f t="shared" si="7"/>
        <v>3.0665319205787547E-2</v>
      </c>
    </row>
    <row r="127" spans="1:26" x14ac:dyDescent="0.25">
      <c r="A127">
        <v>29</v>
      </c>
      <c r="B127" t="s">
        <v>51</v>
      </c>
      <c r="C127" t="s">
        <v>51</v>
      </c>
      <c r="D127" t="s">
        <v>24</v>
      </c>
      <c r="E127" t="s">
        <v>25</v>
      </c>
      <c r="F127">
        <v>0.26778203824153102</v>
      </c>
      <c r="G127">
        <v>0.38280277553679398</v>
      </c>
      <c r="H127" t="s">
        <v>55</v>
      </c>
      <c r="I127">
        <v>0.7</v>
      </c>
      <c r="J127">
        <v>76.509153783294806</v>
      </c>
      <c r="K127" t="s">
        <v>41</v>
      </c>
      <c r="L127">
        <v>1.5</v>
      </c>
      <c r="M127">
        <v>51.040370071572603</v>
      </c>
      <c r="N127">
        <v>72.450476145132498</v>
      </c>
      <c r="O127">
        <v>0</v>
      </c>
      <c r="Q127">
        <v>5</v>
      </c>
      <c r="R127">
        <v>1</v>
      </c>
      <c r="S127">
        <v>0.1217</v>
      </c>
      <c r="T127">
        <v>183720</v>
      </c>
      <c r="U127">
        <v>219217</v>
      </c>
      <c r="V127">
        <v>0.83807368954050099</v>
      </c>
      <c r="W127">
        <f t="shared" si="4"/>
        <v>201468.5</v>
      </c>
      <c r="X127">
        <f t="shared" si="5"/>
        <v>24518.71645</v>
      </c>
      <c r="Y127">
        <f t="shared" si="6"/>
        <v>0.57940781877085945</v>
      </c>
      <c r="Z127">
        <f t="shared" si="7"/>
        <v>5.6892039174255865E-2</v>
      </c>
    </row>
    <row r="128" spans="1:26" x14ac:dyDescent="0.25">
      <c r="A128">
        <v>30</v>
      </c>
      <c r="B128" t="s">
        <v>51</v>
      </c>
      <c r="C128" t="s">
        <v>51</v>
      </c>
      <c r="D128" t="s">
        <v>24</v>
      </c>
      <c r="E128" t="s">
        <v>25</v>
      </c>
      <c r="F128">
        <v>2.6364570913121699</v>
      </c>
      <c r="G128">
        <v>3.59353482479652</v>
      </c>
      <c r="H128" t="s">
        <v>33</v>
      </c>
      <c r="I128">
        <v>10</v>
      </c>
      <c r="J128">
        <v>52.729141826243399</v>
      </c>
      <c r="K128" t="s">
        <v>47</v>
      </c>
      <c r="L128">
        <v>10</v>
      </c>
      <c r="M128">
        <v>71.870696495930602</v>
      </c>
      <c r="N128">
        <v>75.400161677825906</v>
      </c>
      <c r="O128">
        <v>0</v>
      </c>
      <c r="Q128">
        <v>5</v>
      </c>
      <c r="R128">
        <v>1</v>
      </c>
      <c r="S128">
        <v>0.62729999999999997</v>
      </c>
      <c r="T128">
        <v>33455</v>
      </c>
      <c r="U128">
        <v>43279</v>
      </c>
      <c r="V128">
        <v>0.77300769426280602</v>
      </c>
      <c r="W128">
        <f t="shared" si="4"/>
        <v>38367</v>
      </c>
      <c r="X128">
        <f t="shared" si="5"/>
        <v>24067.6191</v>
      </c>
      <c r="Y128">
        <f t="shared" si="6"/>
        <v>0.11034052361923359</v>
      </c>
      <c r="Z128">
        <f t="shared" si="7"/>
        <v>5.5845334785796612E-2</v>
      </c>
    </row>
    <row r="129" spans="1:26" x14ac:dyDescent="0.25">
      <c r="A129">
        <v>31</v>
      </c>
      <c r="B129" t="s">
        <v>51</v>
      </c>
      <c r="C129" t="s">
        <v>51</v>
      </c>
      <c r="D129" t="s">
        <v>24</v>
      </c>
      <c r="E129" t="s">
        <v>25</v>
      </c>
      <c r="F129">
        <v>3.5089373612260601</v>
      </c>
      <c r="G129">
        <v>5.9264271067467602</v>
      </c>
      <c r="H129" t="s">
        <v>33</v>
      </c>
      <c r="I129">
        <v>10</v>
      </c>
      <c r="J129">
        <v>70.178747224521203</v>
      </c>
      <c r="K129" t="s">
        <v>28</v>
      </c>
      <c r="L129">
        <v>50</v>
      </c>
      <c r="M129">
        <v>23.705708426987002</v>
      </c>
      <c r="N129">
        <v>106.115544348491</v>
      </c>
      <c r="O129">
        <v>0</v>
      </c>
      <c r="Q129">
        <v>5</v>
      </c>
      <c r="R129">
        <v>1</v>
      </c>
      <c r="S129">
        <v>0.88270000000000004</v>
      </c>
      <c r="T129">
        <v>25623</v>
      </c>
      <c r="U129">
        <v>32911</v>
      </c>
      <c r="V129">
        <v>0.77855428276260197</v>
      </c>
      <c r="W129">
        <f t="shared" si="4"/>
        <v>29267</v>
      </c>
      <c r="X129">
        <f t="shared" si="5"/>
        <v>25833.980900000002</v>
      </c>
      <c r="Y129">
        <f t="shared" si="6"/>
        <v>8.4169627668676458E-2</v>
      </c>
      <c r="Z129">
        <f t="shared" si="7"/>
        <v>5.9943914942977281E-2</v>
      </c>
    </row>
    <row r="130" spans="1:26" x14ac:dyDescent="0.25">
      <c r="A130">
        <v>32</v>
      </c>
      <c r="B130" t="s">
        <v>51</v>
      </c>
      <c r="C130" t="s">
        <v>51</v>
      </c>
      <c r="D130" t="s">
        <v>24</v>
      </c>
      <c r="E130" t="s">
        <v>25</v>
      </c>
      <c r="F130">
        <v>0.23211541796476501</v>
      </c>
      <c r="G130">
        <v>0.15117209326261599</v>
      </c>
      <c r="H130" t="s">
        <v>55</v>
      </c>
      <c r="I130">
        <v>0.7</v>
      </c>
      <c r="J130">
        <v>66.3186908470758</v>
      </c>
      <c r="K130" t="s">
        <v>54</v>
      </c>
      <c r="L130">
        <v>0.7</v>
      </c>
      <c r="M130">
        <v>43.192026646461699</v>
      </c>
      <c r="N130">
        <v>90.489282506462402</v>
      </c>
      <c r="O130">
        <v>0</v>
      </c>
      <c r="Q130">
        <v>5</v>
      </c>
      <c r="R130">
        <v>1</v>
      </c>
      <c r="S130">
        <v>6.9900000000000004E-2</v>
      </c>
      <c r="T130">
        <v>244598</v>
      </c>
      <c r="U130">
        <v>286720</v>
      </c>
      <c r="V130">
        <v>0.85309012276785701</v>
      </c>
      <c r="W130">
        <f t="shared" si="4"/>
        <v>265659</v>
      </c>
      <c r="X130">
        <f t="shared" si="5"/>
        <v>18569.5641</v>
      </c>
      <c r="Y130">
        <f t="shared" si="6"/>
        <v>0.76401473047572077</v>
      </c>
      <c r="Z130">
        <f t="shared" si="7"/>
        <v>4.3087914915140482E-2</v>
      </c>
    </row>
    <row r="131" spans="1:26" x14ac:dyDescent="0.25">
      <c r="A131">
        <v>33</v>
      </c>
      <c r="B131" t="s">
        <v>51</v>
      </c>
      <c r="C131" t="s">
        <v>51</v>
      </c>
      <c r="D131" t="s">
        <v>24</v>
      </c>
      <c r="E131" t="s">
        <v>25</v>
      </c>
      <c r="F131">
        <v>13.9719708636731</v>
      </c>
      <c r="G131">
        <v>19.973368122282601</v>
      </c>
      <c r="H131" t="s">
        <v>26</v>
      </c>
      <c r="I131">
        <v>50</v>
      </c>
      <c r="J131">
        <v>55.8878834546924</v>
      </c>
      <c r="K131" t="s">
        <v>28</v>
      </c>
      <c r="L131">
        <v>50</v>
      </c>
      <c r="M131">
        <v>79.893472489130602</v>
      </c>
      <c r="N131">
        <v>64.218644056176899</v>
      </c>
      <c r="O131">
        <v>0</v>
      </c>
      <c r="Q131">
        <v>5</v>
      </c>
      <c r="R131">
        <v>1</v>
      </c>
      <c r="S131">
        <v>2.6638000000000002</v>
      </c>
      <c r="T131">
        <v>33227</v>
      </c>
      <c r="U131">
        <v>45341</v>
      </c>
      <c r="V131">
        <v>0.73282459584040904</v>
      </c>
      <c r="W131">
        <f t="shared" ref="W131:W193" si="8">AVERAGE(T131:U131)</f>
        <v>39284</v>
      </c>
      <c r="X131">
        <f t="shared" ref="X131:X193" si="9">W131*S131</f>
        <v>104644.71920000001</v>
      </c>
      <c r="Y131">
        <f t="shared" ref="Y131:Y193" si="10">W131/MAX(W:W)</f>
        <v>0.11297774467271282</v>
      </c>
      <c r="Z131">
        <f t="shared" ref="Z131:Z193" si="11">X131/MAX(X:X)</f>
        <v>0.24281252553517765</v>
      </c>
    </row>
    <row r="132" spans="1:26" x14ac:dyDescent="0.25">
      <c r="A132">
        <v>34</v>
      </c>
      <c r="B132" t="s">
        <v>51</v>
      </c>
      <c r="C132" t="s">
        <v>51</v>
      </c>
      <c r="D132" t="s">
        <v>24</v>
      </c>
      <c r="E132" t="s">
        <v>25</v>
      </c>
      <c r="F132">
        <v>5.3877567256957697</v>
      </c>
      <c r="G132">
        <v>3.76889764065375</v>
      </c>
      <c r="H132" t="s">
        <v>26</v>
      </c>
      <c r="I132">
        <v>50</v>
      </c>
      <c r="J132">
        <v>21.551026902783001</v>
      </c>
      <c r="K132" t="s">
        <v>47</v>
      </c>
      <c r="L132">
        <v>10</v>
      </c>
      <c r="M132">
        <v>75.377952813075197</v>
      </c>
      <c r="N132">
        <v>103.071020284141</v>
      </c>
      <c r="O132">
        <v>0</v>
      </c>
      <c r="Q132">
        <v>5</v>
      </c>
      <c r="R132">
        <v>1</v>
      </c>
      <c r="S132">
        <v>0.57969999999999999</v>
      </c>
      <c r="T132">
        <v>36649</v>
      </c>
      <c r="U132">
        <v>49397</v>
      </c>
      <c r="V132">
        <v>0.74192764742798101</v>
      </c>
      <c r="W132">
        <f t="shared" si="8"/>
        <v>43023</v>
      </c>
      <c r="X132">
        <f t="shared" si="9"/>
        <v>24940.433099999998</v>
      </c>
      <c r="Y132">
        <f t="shared" si="10"/>
        <v>0.12373081939349667</v>
      </c>
      <c r="Z132">
        <f t="shared" si="11"/>
        <v>5.7870570012979107E-2</v>
      </c>
    </row>
    <row r="133" spans="1:26" x14ac:dyDescent="0.25">
      <c r="A133">
        <v>35</v>
      </c>
      <c r="B133" t="s">
        <v>51</v>
      </c>
      <c r="C133" t="s">
        <v>51</v>
      </c>
      <c r="D133" t="s">
        <v>24</v>
      </c>
      <c r="E133" t="s">
        <v>25</v>
      </c>
      <c r="F133">
        <v>1.07408518667225E-2</v>
      </c>
      <c r="G133">
        <v>8.8854426241795199</v>
      </c>
      <c r="H133" t="s">
        <v>52</v>
      </c>
      <c r="I133">
        <v>0.1</v>
      </c>
      <c r="J133">
        <v>21.481703733445102</v>
      </c>
      <c r="K133" t="s">
        <v>28</v>
      </c>
      <c r="L133">
        <v>50</v>
      </c>
      <c r="M133">
        <v>35.541770496718101</v>
      </c>
      <c r="N133">
        <v>142.976525769836</v>
      </c>
      <c r="O133">
        <v>0</v>
      </c>
      <c r="Q133">
        <v>5</v>
      </c>
      <c r="R133">
        <v>1</v>
      </c>
      <c r="S133">
        <v>3.8899999999999997E-2</v>
      </c>
      <c r="T133">
        <v>196319</v>
      </c>
      <c r="U133">
        <v>239994</v>
      </c>
      <c r="V133">
        <v>0.81801628374042601</v>
      </c>
      <c r="W133">
        <f t="shared" si="8"/>
        <v>218156.5</v>
      </c>
      <c r="X133">
        <f t="shared" si="9"/>
        <v>8486.2878499999988</v>
      </c>
      <c r="Y133">
        <f t="shared" si="10"/>
        <v>0.62740121565249651</v>
      </c>
      <c r="Z133">
        <f t="shared" si="11"/>
        <v>1.9691170285800644E-2</v>
      </c>
    </row>
    <row r="134" spans="1:26" x14ac:dyDescent="0.25">
      <c r="A134">
        <v>36</v>
      </c>
      <c r="B134" t="s">
        <v>51</v>
      </c>
      <c r="C134" t="s">
        <v>51</v>
      </c>
      <c r="D134" t="s">
        <v>24</v>
      </c>
      <c r="E134" t="s">
        <v>25</v>
      </c>
      <c r="F134">
        <v>0.90248460497294203</v>
      </c>
      <c r="G134">
        <v>3.61990427650297E-2</v>
      </c>
      <c r="H134" t="s">
        <v>31</v>
      </c>
      <c r="I134">
        <v>4</v>
      </c>
      <c r="J134">
        <v>45.124230248647102</v>
      </c>
      <c r="K134" t="s">
        <v>53</v>
      </c>
      <c r="L134">
        <v>0.1</v>
      </c>
      <c r="M134">
        <v>72.398085530059305</v>
      </c>
      <c r="N134">
        <v>82.477684221293401</v>
      </c>
      <c r="O134">
        <v>0</v>
      </c>
      <c r="Q134">
        <v>5</v>
      </c>
      <c r="R134">
        <v>1</v>
      </c>
      <c r="S134">
        <v>3.9899999999999998E-2</v>
      </c>
      <c r="T134">
        <v>224443</v>
      </c>
      <c r="U134">
        <v>254875</v>
      </c>
      <c r="V134">
        <v>0.88060029426189301</v>
      </c>
      <c r="W134">
        <f t="shared" si="8"/>
        <v>239659</v>
      </c>
      <c r="X134">
        <f t="shared" si="9"/>
        <v>9562.3940999999995</v>
      </c>
      <c r="Y134">
        <f t="shared" si="10"/>
        <v>0.68924074204555752</v>
      </c>
      <c r="Z134">
        <f t="shared" si="11"/>
        <v>2.2188114979276294E-2</v>
      </c>
    </row>
    <row r="135" spans="1:26" x14ac:dyDescent="0.25">
      <c r="A135">
        <v>37</v>
      </c>
      <c r="B135" t="s">
        <v>51</v>
      </c>
      <c r="C135" t="s">
        <v>51</v>
      </c>
      <c r="D135" t="s">
        <v>24</v>
      </c>
      <c r="E135" t="s">
        <v>25</v>
      </c>
      <c r="F135">
        <v>0.108298947005444</v>
      </c>
      <c r="G135">
        <v>4.89804767905337</v>
      </c>
      <c r="H135" t="s">
        <v>57</v>
      </c>
      <c r="I135">
        <v>0.3</v>
      </c>
      <c r="J135">
        <v>72.199298003629906</v>
      </c>
      <c r="K135" t="s">
        <v>28</v>
      </c>
      <c r="L135">
        <v>50</v>
      </c>
      <c r="M135">
        <v>19.592190716213501</v>
      </c>
      <c r="N135">
        <v>108.208511280156</v>
      </c>
      <c r="O135">
        <v>0</v>
      </c>
      <c r="Q135">
        <v>5</v>
      </c>
      <c r="R135">
        <v>1</v>
      </c>
      <c r="S135">
        <v>3.9199999999999999E-2</v>
      </c>
      <c r="T135">
        <v>187499</v>
      </c>
      <c r="U135">
        <v>226496</v>
      </c>
      <c r="V135">
        <v>0.82782477394744203</v>
      </c>
      <c r="W135">
        <f t="shared" si="8"/>
        <v>206997.5</v>
      </c>
      <c r="X135">
        <f t="shared" si="9"/>
        <v>8114.3019999999997</v>
      </c>
      <c r="Y135">
        <f t="shared" si="10"/>
        <v>0.59530879500279688</v>
      </c>
      <c r="Z135">
        <f t="shared" si="11"/>
        <v>1.882803238077916E-2</v>
      </c>
    </row>
    <row r="136" spans="1:26" x14ac:dyDescent="0.25">
      <c r="A136">
        <v>38</v>
      </c>
      <c r="B136" t="s">
        <v>51</v>
      </c>
      <c r="C136" t="s">
        <v>51</v>
      </c>
      <c r="D136" t="s">
        <v>24</v>
      </c>
      <c r="E136" t="s">
        <v>25</v>
      </c>
      <c r="F136">
        <v>10.7510035577191</v>
      </c>
      <c r="G136">
        <v>1.75846847845353</v>
      </c>
      <c r="H136" t="s">
        <v>26</v>
      </c>
      <c r="I136">
        <v>50</v>
      </c>
      <c r="J136">
        <v>43.0040142308764</v>
      </c>
      <c r="K136" t="s">
        <v>43</v>
      </c>
      <c r="L136">
        <v>4</v>
      </c>
      <c r="M136">
        <v>87.923423922676903</v>
      </c>
      <c r="N136">
        <v>69.072561846446604</v>
      </c>
      <c r="O136">
        <v>0</v>
      </c>
      <c r="Q136">
        <v>5</v>
      </c>
      <c r="R136">
        <v>1</v>
      </c>
      <c r="S136">
        <v>9.5899999999999999E-2</v>
      </c>
      <c r="T136">
        <v>154239</v>
      </c>
      <c r="U136">
        <v>202668</v>
      </c>
      <c r="V136">
        <v>0.76104269050861495</v>
      </c>
      <c r="W136">
        <f t="shared" si="8"/>
        <v>178453.5</v>
      </c>
      <c r="X136">
        <f t="shared" si="9"/>
        <v>17113.69065</v>
      </c>
      <c r="Y136">
        <f t="shared" si="10"/>
        <v>0.51321845939700528</v>
      </c>
      <c r="Z136">
        <f t="shared" si="11"/>
        <v>3.9709776849917292E-2</v>
      </c>
    </row>
    <row r="137" spans="1:26" x14ac:dyDescent="0.25">
      <c r="A137">
        <v>39</v>
      </c>
      <c r="B137" t="s">
        <v>51</v>
      </c>
      <c r="C137" t="s">
        <v>51</v>
      </c>
      <c r="D137" t="s">
        <v>24</v>
      </c>
      <c r="E137" t="s">
        <v>25</v>
      </c>
      <c r="F137">
        <v>13.6430486871044</v>
      </c>
      <c r="G137">
        <v>0.78228021814187199</v>
      </c>
      <c r="H137" t="s">
        <v>26</v>
      </c>
      <c r="I137">
        <v>50</v>
      </c>
      <c r="J137">
        <v>54.5721947484179</v>
      </c>
      <c r="K137" t="s">
        <v>43</v>
      </c>
      <c r="L137">
        <v>4</v>
      </c>
      <c r="M137">
        <v>39.114010907093601</v>
      </c>
      <c r="N137">
        <v>106.313794344488</v>
      </c>
      <c r="O137">
        <v>0</v>
      </c>
      <c r="Q137">
        <v>5</v>
      </c>
      <c r="R137">
        <v>1</v>
      </c>
      <c r="S137">
        <v>4.3400000000000001E-2</v>
      </c>
      <c r="T137">
        <v>256899</v>
      </c>
      <c r="U137">
        <v>334475</v>
      </c>
      <c r="V137">
        <v>0.76806637267359201</v>
      </c>
      <c r="W137">
        <f t="shared" si="8"/>
        <v>295687</v>
      </c>
      <c r="X137">
        <f t="shared" si="9"/>
        <v>12832.8158</v>
      </c>
      <c r="Y137">
        <f t="shared" si="10"/>
        <v>0.8503729352672954</v>
      </c>
      <c r="Z137">
        <f t="shared" si="11"/>
        <v>2.9776642700625938E-2</v>
      </c>
    </row>
    <row r="138" spans="1:26" x14ac:dyDescent="0.25">
      <c r="A138">
        <v>40</v>
      </c>
      <c r="B138" t="s">
        <v>51</v>
      </c>
      <c r="C138" t="s">
        <v>51</v>
      </c>
      <c r="D138" t="s">
        <v>24</v>
      </c>
      <c r="E138" t="s">
        <v>25</v>
      </c>
      <c r="F138">
        <v>1.59863610925483</v>
      </c>
      <c r="G138">
        <v>2.4031745751595599</v>
      </c>
      <c r="H138" t="s">
        <v>31</v>
      </c>
      <c r="I138">
        <v>4</v>
      </c>
      <c r="J138">
        <v>79.931805462741906</v>
      </c>
      <c r="K138" t="s">
        <v>47</v>
      </c>
      <c r="L138">
        <v>10</v>
      </c>
      <c r="M138">
        <v>48.063491503191301</v>
      </c>
      <c r="N138">
        <v>72.004703034066594</v>
      </c>
      <c r="O138">
        <v>0</v>
      </c>
      <c r="Q138">
        <v>5</v>
      </c>
      <c r="R138">
        <v>1</v>
      </c>
      <c r="S138">
        <v>0.26840000000000003</v>
      </c>
      <c r="T138">
        <v>56534</v>
      </c>
      <c r="U138">
        <v>69395</v>
      </c>
      <c r="V138">
        <v>0.81466964478708803</v>
      </c>
      <c r="W138">
        <f t="shared" si="8"/>
        <v>62964.5</v>
      </c>
      <c r="X138">
        <f t="shared" si="9"/>
        <v>16899.6718</v>
      </c>
      <c r="Y138">
        <f t="shared" si="10"/>
        <v>0.18108103055811592</v>
      </c>
      <c r="Z138">
        <f t="shared" si="11"/>
        <v>3.9213177901801101E-2</v>
      </c>
    </row>
    <row r="139" spans="1:26" x14ac:dyDescent="0.25">
      <c r="A139">
        <v>41</v>
      </c>
      <c r="B139" t="s">
        <v>51</v>
      </c>
      <c r="C139" t="s">
        <v>51</v>
      </c>
      <c r="D139" t="s">
        <v>24</v>
      </c>
      <c r="E139" t="s">
        <v>25</v>
      </c>
      <c r="F139">
        <v>8.4720123887954504</v>
      </c>
      <c r="G139">
        <v>4.2456633450872401</v>
      </c>
      <c r="H139" t="s">
        <v>26</v>
      </c>
      <c r="I139">
        <v>50</v>
      </c>
      <c r="J139">
        <v>33.888049555181802</v>
      </c>
      <c r="K139" t="s">
        <v>47</v>
      </c>
      <c r="L139">
        <v>10</v>
      </c>
      <c r="M139">
        <v>84.913266901744905</v>
      </c>
      <c r="N139">
        <v>81.198683543073201</v>
      </c>
      <c r="O139">
        <v>0</v>
      </c>
      <c r="Q139">
        <v>5</v>
      </c>
      <c r="R139">
        <v>1</v>
      </c>
      <c r="S139">
        <v>0.47389999999999999</v>
      </c>
      <c r="T139">
        <v>33031</v>
      </c>
      <c r="U139">
        <v>44524</v>
      </c>
      <c r="V139">
        <v>0.741869553499236</v>
      </c>
      <c r="W139">
        <f t="shared" si="8"/>
        <v>38777.5</v>
      </c>
      <c r="X139">
        <f t="shared" si="9"/>
        <v>18376.65725</v>
      </c>
      <c r="Y139">
        <f t="shared" si="10"/>
        <v>0.1115210898596406</v>
      </c>
      <c r="Z139">
        <f t="shared" si="11"/>
        <v>4.2640303226756923E-2</v>
      </c>
    </row>
    <row r="140" spans="1:26" x14ac:dyDescent="0.25">
      <c r="A140">
        <v>42</v>
      </c>
      <c r="B140" t="s">
        <v>51</v>
      </c>
      <c r="C140" t="s">
        <v>51</v>
      </c>
      <c r="D140" t="s">
        <v>24</v>
      </c>
      <c r="E140" t="s">
        <v>25</v>
      </c>
      <c r="F140">
        <v>20.617988649284701</v>
      </c>
      <c r="G140">
        <v>2.0611497057962498</v>
      </c>
      <c r="H140" t="s">
        <v>26</v>
      </c>
      <c r="I140">
        <v>50</v>
      </c>
      <c r="J140">
        <v>82.471954597138804</v>
      </c>
      <c r="K140" t="s">
        <v>47</v>
      </c>
      <c r="L140">
        <v>10</v>
      </c>
      <c r="M140">
        <v>41.222994115924998</v>
      </c>
      <c r="N140">
        <v>76.305051286936006</v>
      </c>
      <c r="O140">
        <v>0</v>
      </c>
      <c r="Q140">
        <v>5</v>
      </c>
      <c r="R140">
        <v>1</v>
      </c>
      <c r="S140">
        <v>0.2225</v>
      </c>
      <c r="T140">
        <v>150175</v>
      </c>
      <c r="U140">
        <v>200687</v>
      </c>
      <c r="V140">
        <v>0.74830457378903403</v>
      </c>
      <c r="W140">
        <f t="shared" si="8"/>
        <v>175431</v>
      </c>
      <c r="X140">
        <f t="shared" si="9"/>
        <v>39033.397499999999</v>
      </c>
      <c r="Y140">
        <f t="shared" si="10"/>
        <v>0.50452598324199882</v>
      </c>
      <c r="Z140">
        <f t="shared" si="11"/>
        <v>9.0571200340069227E-2</v>
      </c>
    </row>
    <row r="141" spans="1:26" x14ac:dyDescent="0.25">
      <c r="A141">
        <v>43</v>
      </c>
      <c r="B141" t="s">
        <v>51</v>
      </c>
      <c r="C141" t="s">
        <v>51</v>
      </c>
      <c r="D141" t="s">
        <v>24</v>
      </c>
      <c r="E141" t="s">
        <v>25</v>
      </c>
      <c r="F141">
        <v>6.2612444562225603E-2</v>
      </c>
      <c r="G141">
        <v>4.89804767905337</v>
      </c>
      <c r="H141" t="s">
        <v>57</v>
      </c>
      <c r="I141">
        <v>0.3</v>
      </c>
      <c r="J141">
        <v>41.741629708150398</v>
      </c>
      <c r="K141" t="s">
        <v>28</v>
      </c>
      <c r="L141">
        <v>50</v>
      </c>
      <c r="M141">
        <v>19.592190716213501</v>
      </c>
      <c r="N141">
        <v>138.66617957563599</v>
      </c>
      <c r="O141">
        <v>0</v>
      </c>
      <c r="Q141">
        <v>5</v>
      </c>
      <c r="R141">
        <v>1</v>
      </c>
      <c r="S141">
        <v>3.7900000000000003E-2</v>
      </c>
      <c r="T141">
        <v>167847</v>
      </c>
      <c r="U141">
        <v>195898</v>
      </c>
      <c r="V141">
        <v>0.85680813484568497</v>
      </c>
      <c r="W141">
        <f t="shared" si="8"/>
        <v>181872.5</v>
      </c>
      <c r="X141">
        <f t="shared" si="9"/>
        <v>6892.9677500000007</v>
      </c>
      <c r="Y141">
        <f t="shared" si="10"/>
        <v>0.52305123887557181</v>
      </c>
      <c r="Z141">
        <f t="shared" si="11"/>
        <v>1.5994107687471639E-2</v>
      </c>
    </row>
    <row r="142" spans="1:26" x14ac:dyDescent="0.25">
      <c r="A142">
        <v>44</v>
      </c>
      <c r="B142" t="s">
        <v>51</v>
      </c>
      <c r="C142" t="s">
        <v>51</v>
      </c>
      <c r="D142" t="s">
        <v>24</v>
      </c>
      <c r="E142" t="s">
        <v>25</v>
      </c>
      <c r="F142">
        <v>5.3877567256957697</v>
      </c>
      <c r="G142">
        <v>1.11829397041983</v>
      </c>
      <c r="H142" t="s">
        <v>26</v>
      </c>
      <c r="I142">
        <v>50</v>
      </c>
      <c r="J142">
        <v>21.551026902783001</v>
      </c>
      <c r="K142" t="s">
        <v>43</v>
      </c>
      <c r="L142">
        <v>4</v>
      </c>
      <c r="M142">
        <v>55.9146985209915</v>
      </c>
      <c r="N142">
        <v>122.534274576225</v>
      </c>
      <c r="O142">
        <v>0</v>
      </c>
      <c r="Q142">
        <v>5</v>
      </c>
      <c r="R142">
        <v>1</v>
      </c>
      <c r="S142">
        <v>0.13120000000000001</v>
      </c>
      <c r="T142">
        <v>89448</v>
      </c>
      <c r="U142">
        <v>111112</v>
      </c>
      <c r="V142">
        <v>0.80502555979552104</v>
      </c>
      <c r="W142">
        <f t="shared" si="8"/>
        <v>100280</v>
      </c>
      <c r="X142">
        <f t="shared" si="9"/>
        <v>13156.736000000001</v>
      </c>
      <c r="Y142">
        <f t="shared" si="10"/>
        <v>0.2883975215298758</v>
      </c>
      <c r="Z142">
        <f t="shared" si="11"/>
        <v>3.0528251405156342E-2</v>
      </c>
    </row>
    <row r="143" spans="1:26" x14ac:dyDescent="0.25">
      <c r="A143">
        <v>45</v>
      </c>
      <c r="B143" t="s">
        <v>51</v>
      </c>
      <c r="C143" t="s">
        <v>51</v>
      </c>
      <c r="D143" t="s">
        <v>24</v>
      </c>
      <c r="E143" t="s">
        <v>25</v>
      </c>
      <c r="F143">
        <v>4.3480226388544496</v>
      </c>
      <c r="G143">
        <v>0.72832232289278598</v>
      </c>
      <c r="H143" t="s">
        <v>33</v>
      </c>
      <c r="I143">
        <v>10</v>
      </c>
      <c r="J143">
        <v>86.960452777089102</v>
      </c>
      <c r="K143" t="s">
        <v>43</v>
      </c>
      <c r="L143">
        <v>4</v>
      </c>
      <c r="M143">
        <v>36.416116144639297</v>
      </c>
      <c r="N143">
        <v>76.623431078271395</v>
      </c>
      <c r="O143">
        <v>0</v>
      </c>
      <c r="Q143">
        <v>5</v>
      </c>
      <c r="R143">
        <v>1</v>
      </c>
      <c r="S143">
        <v>0.17599999999999999</v>
      </c>
      <c r="T143">
        <v>94719</v>
      </c>
      <c r="U143">
        <v>114856</v>
      </c>
      <c r="V143">
        <v>0.82467611618026004</v>
      </c>
      <c r="W143">
        <f t="shared" si="8"/>
        <v>104787.5</v>
      </c>
      <c r="X143">
        <f t="shared" si="9"/>
        <v>18442.599999999999</v>
      </c>
      <c r="Y143">
        <f t="shared" si="10"/>
        <v>0.30136074279329739</v>
      </c>
      <c r="Z143">
        <f t="shared" si="11"/>
        <v>4.2793313582087253E-2</v>
      </c>
    </row>
    <row r="144" spans="1:26" x14ac:dyDescent="0.25">
      <c r="A144">
        <v>46</v>
      </c>
      <c r="B144" t="s">
        <v>51</v>
      </c>
      <c r="C144" t="s">
        <v>51</v>
      </c>
      <c r="D144" t="s">
        <v>24</v>
      </c>
      <c r="E144" t="s">
        <v>25</v>
      </c>
      <c r="F144">
        <v>1.3857094042228399</v>
      </c>
      <c r="G144">
        <v>8.5341802353406299E-2</v>
      </c>
      <c r="H144" t="s">
        <v>31</v>
      </c>
      <c r="I144">
        <v>4</v>
      </c>
      <c r="J144">
        <v>69.285470211142396</v>
      </c>
      <c r="K144" t="s">
        <v>56</v>
      </c>
      <c r="L144">
        <v>0.3</v>
      </c>
      <c r="M144">
        <v>56.894534902270799</v>
      </c>
      <c r="N144">
        <v>73.819994886586699</v>
      </c>
      <c r="O144">
        <v>0</v>
      </c>
      <c r="Q144">
        <v>5</v>
      </c>
      <c r="R144">
        <v>1</v>
      </c>
      <c r="S144">
        <v>4.1500000000000002E-2</v>
      </c>
      <c r="T144">
        <v>221444</v>
      </c>
      <c r="U144">
        <v>251855</v>
      </c>
      <c r="V144">
        <v>0.87925195052708904</v>
      </c>
      <c r="W144">
        <f t="shared" si="8"/>
        <v>236649.5</v>
      </c>
      <c r="X144">
        <f t="shared" si="9"/>
        <v>9820.9542500000007</v>
      </c>
      <c r="Y144">
        <f t="shared" si="10"/>
        <v>0.68058565288476613</v>
      </c>
      <c r="Z144">
        <f t="shared" si="11"/>
        <v>2.2788065397264082E-2</v>
      </c>
    </row>
    <row r="145" spans="1:26" x14ac:dyDescent="0.25">
      <c r="A145">
        <v>47</v>
      </c>
      <c r="B145" t="s">
        <v>51</v>
      </c>
      <c r="C145" t="s">
        <v>51</v>
      </c>
      <c r="D145" t="s">
        <v>24</v>
      </c>
      <c r="E145" t="s">
        <v>25</v>
      </c>
      <c r="F145">
        <v>4.3480226388544496</v>
      </c>
      <c r="G145">
        <v>7.2278916436151999</v>
      </c>
      <c r="H145" t="s">
        <v>33</v>
      </c>
      <c r="I145">
        <v>10</v>
      </c>
      <c r="J145">
        <v>86.960452777089102</v>
      </c>
      <c r="K145" t="s">
        <v>28</v>
      </c>
      <c r="L145">
        <v>50</v>
      </c>
      <c r="M145">
        <v>28.911566574460799</v>
      </c>
      <c r="N145">
        <v>84.127980648450006</v>
      </c>
      <c r="O145">
        <v>0</v>
      </c>
      <c r="Q145">
        <v>5</v>
      </c>
      <c r="R145">
        <v>1</v>
      </c>
      <c r="S145">
        <v>1.0686</v>
      </c>
      <c r="T145">
        <v>22463</v>
      </c>
      <c r="U145">
        <v>28560</v>
      </c>
      <c r="V145">
        <v>0.78651960784313701</v>
      </c>
      <c r="W145">
        <f t="shared" si="8"/>
        <v>25511.5</v>
      </c>
      <c r="X145">
        <f t="shared" si="9"/>
        <v>27261.588899999999</v>
      </c>
      <c r="Y145">
        <f t="shared" si="10"/>
        <v>7.3369100224465758E-2</v>
      </c>
      <c r="Z145">
        <f t="shared" si="11"/>
        <v>6.3256467230414865E-2</v>
      </c>
    </row>
    <row r="146" spans="1:26" x14ac:dyDescent="0.25">
      <c r="A146">
        <v>48</v>
      </c>
      <c r="B146" t="s">
        <v>51</v>
      </c>
      <c r="C146" t="s">
        <v>51</v>
      </c>
      <c r="D146" t="s">
        <v>24</v>
      </c>
      <c r="E146" t="s">
        <v>25</v>
      </c>
      <c r="F146">
        <v>8.4720123887954397</v>
      </c>
      <c r="G146">
        <v>1.0487995314939399E-2</v>
      </c>
      <c r="H146" t="s">
        <v>26</v>
      </c>
      <c r="I146">
        <v>50</v>
      </c>
      <c r="J146">
        <v>33.888049555181702</v>
      </c>
      <c r="K146" t="s">
        <v>53</v>
      </c>
      <c r="L146">
        <v>0.1</v>
      </c>
      <c r="M146">
        <v>20.975990629878801</v>
      </c>
      <c r="N146">
        <v>145.13595981493901</v>
      </c>
      <c r="O146">
        <v>0</v>
      </c>
      <c r="Q146">
        <v>5</v>
      </c>
      <c r="R146">
        <v>1</v>
      </c>
      <c r="S146">
        <v>3.9600000000000003E-2</v>
      </c>
      <c r="T146">
        <v>252603</v>
      </c>
      <c r="U146">
        <v>305224</v>
      </c>
      <c r="V146">
        <v>0.827598747149634</v>
      </c>
      <c r="W146">
        <f t="shared" si="8"/>
        <v>278913.5</v>
      </c>
      <c r="X146">
        <f t="shared" si="9"/>
        <v>11044.974600000001</v>
      </c>
      <c r="Y146">
        <f t="shared" si="10"/>
        <v>0.80213364700062839</v>
      </c>
      <c r="Z146">
        <f t="shared" si="11"/>
        <v>2.5628222786591305E-2</v>
      </c>
    </row>
    <row r="147" spans="1:26" x14ac:dyDescent="0.25">
      <c r="A147">
        <v>49</v>
      </c>
      <c r="B147" t="s">
        <v>51</v>
      </c>
      <c r="C147" t="s">
        <v>51</v>
      </c>
      <c r="D147" t="s">
        <v>24</v>
      </c>
      <c r="E147" t="s">
        <v>25</v>
      </c>
      <c r="F147">
        <v>3.61990427650297E-2</v>
      </c>
      <c r="G147">
        <v>0.13103706971044399</v>
      </c>
      <c r="H147" t="s">
        <v>52</v>
      </c>
      <c r="I147">
        <v>0.1</v>
      </c>
      <c r="J147">
        <v>72.398085530059305</v>
      </c>
      <c r="K147" t="s">
        <v>56</v>
      </c>
      <c r="L147">
        <v>0.3</v>
      </c>
      <c r="M147">
        <v>87.358046473629898</v>
      </c>
      <c r="N147">
        <v>40.243867996310698</v>
      </c>
      <c r="O147">
        <v>0</v>
      </c>
      <c r="Q147">
        <v>5</v>
      </c>
      <c r="R147">
        <v>1</v>
      </c>
      <c r="S147">
        <v>4.3700000000000003E-2</v>
      </c>
      <c r="T147">
        <v>259420</v>
      </c>
      <c r="U147">
        <v>297240</v>
      </c>
      <c r="V147">
        <v>0.87276275063921405</v>
      </c>
      <c r="W147">
        <f t="shared" si="8"/>
        <v>278330</v>
      </c>
      <c r="X147">
        <f t="shared" si="9"/>
        <v>12163.021000000001</v>
      </c>
      <c r="Y147">
        <f t="shared" si="10"/>
        <v>0.80045554614489756</v>
      </c>
      <c r="Z147">
        <f t="shared" si="11"/>
        <v>2.8222483367774203E-2</v>
      </c>
    </row>
    <row r="148" spans="1:26" x14ac:dyDescent="0.25">
      <c r="A148">
        <v>50</v>
      </c>
      <c r="B148" t="s">
        <v>51</v>
      </c>
      <c r="C148" t="s">
        <v>51</v>
      </c>
      <c r="D148" t="s">
        <v>24</v>
      </c>
      <c r="E148" t="s">
        <v>25</v>
      </c>
      <c r="F148">
        <v>0.67808618155258404</v>
      </c>
      <c r="G148">
        <v>10.497908019157901</v>
      </c>
      <c r="H148" t="s">
        <v>31</v>
      </c>
      <c r="I148">
        <v>4</v>
      </c>
      <c r="J148">
        <v>33.9043090776292</v>
      </c>
      <c r="K148" t="s">
        <v>28</v>
      </c>
      <c r="L148">
        <v>50</v>
      </c>
      <c r="M148">
        <v>41.991632076631802</v>
      </c>
      <c r="N148">
        <v>124.104058845738</v>
      </c>
      <c r="O148">
        <v>0</v>
      </c>
      <c r="Q148">
        <v>5</v>
      </c>
      <c r="R148">
        <v>1</v>
      </c>
      <c r="S148">
        <v>0.26579999999999998</v>
      </c>
      <c r="T148">
        <v>92946</v>
      </c>
      <c r="U148">
        <v>119119</v>
      </c>
      <c r="V148">
        <v>0.78027854498442695</v>
      </c>
      <c r="W148">
        <f t="shared" si="8"/>
        <v>106032.5</v>
      </c>
      <c r="X148">
        <f t="shared" si="9"/>
        <v>28183.438499999997</v>
      </c>
      <c r="Y148">
        <f t="shared" si="10"/>
        <v>0.30494126647004943</v>
      </c>
      <c r="Z148">
        <f t="shared" si="11"/>
        <v>6.5395482282973691E-2</v>
      </c>
    </row>
    <row r="149" spans="1:26" x14ac:dyDescent="0.25">
      <c r="A149">
        <v>51</v>
      </c>
      <c r="B149" t="s">
        <v>51</v>
      </c>
      <c r="C149" t="s">
        <v>51</v>
      </c>
      <c r="D149" t="s">
        <v>24</v>
      </c>
      <c r="E149" t="s">
        <v>25</v>
      </c>
      <c r="F149">
        <v>0.166286348272252</v>
      </c>
      <c r="G149">
        <v>7.5206498745755903</v>
      </c>
      <c r="H149" t="s">
        <v>55</v>
      </c>
      <c r="I149">
        <v>0.7</v>
      </c>
      <c r="J149">
        <v>47.510385220643499</v>
      </c>
      <c r="K149" t="s">
        <v>28</v>
      </c>
      <c r="L149">
        <v>50</v>
      </c>
      <c r="M149">
        <v>30.082599498302301</v>
      </c>
      <c r="N149">
        <v>122.407015281054</v>
      </c>
      <c r="O149">
        <v>0</v>
      </c>
      <c r="Q149">
        <v>5</v>
      </c>
      <c r="R149">
        <v>1</v>
      </c>
      <c r="S149">
        <v>3.9100000000000003E-2</v>
      </c>
      <c r="T149">
        <v>180834</v>
      </c>
      <c r="U149">
        <v>214777</v>
      </c>
      <c r="V149">
        <v>0.84196166256163296</v>
      </c>
      <c r="W149">
        <f t="shared" si="8"/>
        <v>197805.5</v>
      </c>
      <c r="X149">
        <f t="shared" si="9"/>
        <v>7734.1950500000003</v>
      </c>
      <c r="Y149">
        <f t="shared" si="10"/>
        <v>0.56887331417010223</v>
      </c>
      <c r="Z149">
        <f t="shared" si="11"/>
        <v>1.7946050669627765E-2</v>
      </c>
    </row>
    <row r="150" spans="1:26" x14ac:dyDescent="0.25">
      <c r="A150">
        <v>52</v>
      </c>
      <c r="B150" t="s">
        <v>51</v>
      </c>
      <c r="C150" t="s">
        <v>51</v>
      </c>
      <c r="D150" t="s">
        <v>24</v>
      </c>
      <c r="E150" t="s">
        <v>25</v>
      </c>
      <c r="F150">
        <v>2.6364570913121699</v>
      </c>
      <c r="G150">
        <v>0.24931173203419399</v>
      </c>
      <c r="H150" t="s">
        <v>33</v>
      </c>
      <c r="I150">
        <v>10</v>
      </c>
      <c r="J150">
        <v>52.729141826243399</v>
      </c>
      <c r="K150" t="s">
        <v>54</v>
      </c>
      <c r="L150">
        <v>0.7</v>
      </c>
      <c r="M150">
        <v>71.231923438341198</v>
      </c>
      <c r="N150">
        <v>76.038934735415197</v>
      </c>
      <c r="O150">
        <v>0</v>
      </c>
      <c r="Q150">
        <v>5</v>
      </c>
      <c r="R150">
        <v>1</v>
      </c>
      <c r="S150">
        <v>4.8099999999999997E-2</v>
      </c>
      <c r="T150">
        <v>176351</v>
      </c>
      <c r="U150">
        <v>203021</v>
      </c>
      <c r="V150">
        <v>0.86863427921249503</v>
      </c>
      <c r="W150">
        <f t="shared" si="8"/>
        <v>189686</v>
      </c>
      <c r="X150">
        <f t="shared" si="9"/>
        <v>9123.8966</v>
      </c>
      <c r="Y150">
        <f t="shared" si="10"/>
        <v>0.54552226036015183</v>
      </c>
      <c r="Z150">
        <f t="shared" si="11"/>
        <v>2.1170646670986722E-2</v>
      </c>
    </row>
    <row r="151" spans="1:26" x14ac:dyDescent="0.25">
      <c r="A151">
        <v>53</v>
      </c>
      <c r="B151" t="s">
        <v>51</v>
      </c>
      <c r="C151" t="s">
        <v>51</v>
      </c>
      <c r="D151" t="s">
        <v>24</v>
      </c>
      <c r="E151" t="s">
        <v>25</v>
      </c>
      <c r="F151">
        <v>2.5338270624013899</v>
      </c>
      <c r="G151">
        <v>0.69997073647737895</v>
      </c>
      <c r="H151" t="s">
        <v>33</v>
      </c>
      <c r="I151">
        <v>10</v>
      </c>
      <c r="J151">
        <v>50.676541248027902</v>
      </c>
      <c r="K151" t="s">
        <v>43</v>
      </c>
      <c r="L151">
        <v>4</v>
      </c>
      <c r="M151">
        <v>34.998536823868903</v>
      </c>
      <c r="N151">
        <v>114.324921928103</v>
      </c>
      <c r="O151">
        <v>0</v>
      </c>
      <c r="Q151">
        <v>5</v>
      </c>
      <c r="R151">
        <v>1</v>
      </c>
      <c r="S151">
        <v>0.17069999999999999</v>
      </c>
      <c r="T151">
        <v>85460</v>
      </c>
      <c r="U151">
        <v>102049</v>
      </c>
      <c r="V151">
        <v>0.83744083724485296</v>
      </c>
      <c r="W151">
        <f t="shared" si="8"/>
        <v>93754.5</v>
      </c>
      <c r="X151">
        <f t="shared" si="9"/>
        <v>16003.89315</v>
      </c>
      <c r="Y151">
        <f t="shared" si="10"/>
        <v>0.26963068839522081</v>
      </c>
      <c r="Z151">
        <f t="shared" si="11"/>
        <v>3.7134656615779131E-2</v>
      </c>
    </row>
    <row r="152" spans="1:26" x14ac:dyDescent="0.25">
      <c r="A152">
        <v>54</v>
      </c>
      <c r="B152" t="s">
        <v>51</v>
      </c>
      <c r="C152" t="s">
        <v>51</v>
      </c>
      <c r="D152" t="s">
        <v>24</v>
      </c>
      <c r="E152" t="s">
        <v>25</v>
      </c>
      <c r="F152">
        <v>1.5354382740571999E-2</v>
      </c>
      <c r="G152">
        <v>1.3857094042228399</v>
      </c>
      <c r="H152" t="s">
        <v>52</v>
      </c>
      <c r="I152">
        <v>0.1</v>
      </c>
      <c r="J152">
        <v>30.708765481143999</v>
      </c>
      <c r="K152" t="s">
        <v>43</v>
      </c>
      <c r="L152">
        <v>4</v>
      </c>
      <c r="M152">
        <v>69.285470211142396</v>
      </c>
      <c r="N152">
        <v>100.00576430771299</v>
      </c>
      <c r="O152">
        <v>0</v>
      </c>
      <c r="Q152">
        <v>5</v>
      </c>
      <c r="R152">
        <v>1</v>
      </c>
      <c r="S152">
        <v>3.8399999999999997E-2</v>
      </c>
      <c r="T152">
        <v>240916</v>
      </c>
      <c r="U152">
        <v>276276</v>
      </c>
      <c r="V152">
        <v>0.87201204592508896</v>
      </c>
      <c r="W152">
        <f t="shared" si="8"/>
        <v>258596</v>
      </c>
      <c r="X152">
        <f t="shared" si="9"/>
        <v>9930.0863999999983</v>
      </c>
      <c r="Y152">
        <f t="shared" si="10"/>
        <v>0.74370208892640366</v>
      </c>
      <c r="Z152">
        <f t="shared" si="11"/>
        <v>2.3041290339345856E-2</v>
      </c>
    </row>
    <row r="153" spans="1:26" x14ac:dyDescent="0.25">
      <c r="A153">
        <v>55</v>
      </c>
      <c r="B153" t="s">
        <v>51</v>
      </c>
      <c r="C153" t="s">
        <v>51</v>
      </c>
      <c r="D153" t="s">
        <v>24</v>
      </c>
      <c r="E153" t="s">
        <v>25</v>
      </c>
      <c r="F153">
        <v>8.6762653251257902</v>
      </c>
      <c r="G153">
        <v>21.970314600208901</v>
      </c>
      <c r="H153" t="s">
        <v>26</v>
      </c>
      <c r="I153">
        <v>50</v>
      </c>
      <c r="J153">
        <v>34.705061300503097</v>
      </c>
      <c r="K153" t="s">
        <v>28</v>
      </c>
      <c r="L153">
        <v>50</v>
      </c>
      <c r="M153">
        <v>87.881258400835705</v>
      </c>
      <c r="N153">
        <v>77.413680298661006</v>
      </c>
      <c r="O153">
        <v>0</v>
      </c>
      <c r="Q153">
        <v>5</v>
      </c>
      <c r="R153">
        <v>1</v>
      </c>
      <c r="S153">
        <v>2.3041</v>
      </c>
      <c r="T153">
        <v>20096</v>
      </c>
      <c r="U153">
        <v>25654</v>
      </c>
      <c r="V153">
        <v>0.78334762610119202</v>
      </c>
      <c r="W153">
        <f t="shared" si="8"/>
        <v>22875</v>
      </c>
      <c r="X153">
        <f t="shared" si="9"/>
        <v>52706.287499999999</v>
      </c>
      <c r="Y153">
        <f t="shared" si="10"/>
        <v>6.5786730205384017E-2</v>
      </c>
      <c r="Z153">
        <f t="shared" si="11"/>
        <v>0.12229711042559864</v>
      </c>
    </row>
    <row r="154" spans="1:26" x14ac:dyDescent="0.25">
      <c r="A154">
        <v>56</v>
      </c>
      <c r="B154" t="s">
        <v>51</v>
      </c>
      <c r="C154" t="s">
        <v>51</v>
      </c>
      <c r="D154" t="s">
        <v>24</v>
      </c>
      <c r="E154" t="s">
        <v>25</v>
      </c>
      <c r="F154">
        <v>0.431227342171147</v>
      </c>
      <c r="G154">
        <v>14.0833644706395</v>
      </c>
      <c r="H154" t="s">
        <v>58</v>
      </c>
      <c r="I154">
        <v>1.5</v>
      </c>
      <c r="J154">
        <v>57.496978956153001</v>
      </c>
      <c r="K154" t="s">
        <v>28</v>
      </c>
      <c r="L154">
        <v>50</v>
      </c>
      <c r="M154">
        <v>56.333457882558001</v>
      </c>
      <c r="N154">
        <v>86.169563161288906</v>
      </c>
      <c r="O154">
        <v>0</v>
      </c>
      <c r="Q154">
        <v>5</v>
      </c>
      <c r="R154">
        <v>1</v>
      </c>
      <c r="S154">
        <v>3.8600000000000002E-2</v>
      </c>
      <c r="T154">
        <v>244222</v>
      </c>
      <c r="U154">
        <v>308699</v>
      </c>
      <c r="V154">
        <v>0.79113311024654998</v>
      </c>
      <c r="W154">
        <f t="shared" si="8"/>
        <v>276460.5</v>
      </c>
      <c r="X154">
        <f t="shared" si="9"/>
        <v>10671.375300000002</v>
      </c>
      <c r="Y154">
        <f t="shared" si="10"/>
        <v>0.79507900878450566</v>
      </c>
      <c r="Z154">
        <f t="shared" si="11"/>
        <v>2.4761341110528912E-2</v>
      </c>
    </row>
    <row r="155" spans="1:26" x14ac:dyDescent="0.25">
      <c r="A155">
        <v>57</v>
      </c>
      <c r="B155" t="s">
        <v>51</v>
      </c>
      <c r="C155" t="s">
        <v>51</v>
      </c>
      <c r="D155" t="s">
        <v>24</v>
      </c>
      <c r="E155" t="s">
        <v>25</v>
      </c>
      <c r="F155">
        <v>0.46317490031407899</v>
      </c>
      <c r="G155">
        <v>9.1722114191057695</v>
      </c>
      <c r="H155" t="s">
        <v>58</v>
      </c>
      <c r="I155">
        <v>1.5</v>
      </c>
      <c r="J155">
        <v>61.756653375210497</v>
      </c>
      <c r="K155" t="s">
        <v>28</v>
      </c>
      <c r="L155">
        <v>50</v>
      </c>
      <c r="M155">
        <v>36.688845676423099</v>
      </c>
      <c r="N155">
        <v>101.554500948366</v>
      </c>
      <c r="O155">
        <v>0</v>
      </c>
      <c r="Q155">
        <v>5</v>
      </c>
      <c r="R155">
        <v>1</v>
      </c>
      <c r="S155">
        <v>4.3299999999999998E-2</v>
      </c>
      <c r="T155">
        <v>225250</v>
      </c>
      <c r="U155">
        <v>282325</v>
      </c>
      <c r="V155">
        <v>0.79783936952094203</v>
      </c>
      <c r="W155">
        <f t="shared" si="8"/>
        <v>253787.5</v>
      </c>
      <c r="X155">
        <f t="shared" si="9"/>
        <v>10988.998749999999</v>
      </c>
      <c r="Y155">
        <f t="shared" si="10"/>
        <v>0.7298732149507714</v>
      </c>
      <c r="Z155">
        <f t="shared" si="11"/>
        <v>2.5498339142090314E-2</v>
      </c>
    </row>
    <row r="156" spans="1:26" x14ac:dyDescent="0.25">
      <c r="A156">
        <v>58</v>
      </c>
      <c r="B156" t="s">
        <v>51</v>
      </c>
      <c r="C156" t="s">
        <v>51</v>
      </c>
      <c r="D156" t="s">
        <v>24</v>
      </c>
      <c r="E156" t="s">
        <v>25</v>
      </c>
      <c r="F156">
        <v>0.74588154804719298</v>
      </c>
      <c r="G156">
        <v>16.639110854278002</v>
      </c>
      <c r="H156" t="s">
        <v>31</v>
      </c>
      <c r="I156">
        <v>4</v>
      </c>
      <c r="J156">
        <v>37.294077402359598</v>
      </c>
      <c r="K156" t="s">
        <v>28</v>
      </c>
      <c r="L156">
        <v>50</v>
      </c>
      <c r="M156">
        <v>66.556443417112305</v>
      </c>
      <c r="N156">
        <v>96.149479180527905</v>
      </c>
      <c r="O156">
        <v>0</v>
      </c>
      <c r="Q156">
        <v>5</v>
      </c>
      <c r="R156">
        <v>1</v>
      </c>
      <c r="S156">
        <v>3.9300000000000002E-2</v>
      </c>
      <c r="T156">
        <v>226264</v>
      </c>
      <c r="U156">
        <v>281452</v>
      </c>
      <c r="V156">
        <v>0.80391683128917102</v>
      </c>
      <c r="W156">
        <f t="shared" si="8"/>
        <v>253858</v>
      </c>
      <c r="X156">
        <f t="shared" si="9"/>
        <v>9976.6193999999996</v>
      </c>
      <c r="Y156">
        <f t="shared" si="10"/>
        <v>0.73007596749632242</v>
      </c>
      <c r="Z156">
        <f t="shared" si="11"/>
        <v>2.314926325319289E-2</v>
      </c>
    </row>
    <row r="157" spans="1:26" x14ac:dyDescent="0.25">
      <c r="A157">
        <v>59</v>
      </c>
      <c r="B157" t="s">
        <v>51</v>
      </c>
      <c r="C157" t="s">
        <v>51</v>
      </c>
      <c r="D157" t="s">
        <v>24</v>
      </c>
      <c r="E157" t="s">
        <v>25</v>
      </c>
      <c r="F157">
        <v>19.973368122282601</v>
      </c>
      <c r="G157">
        <v>13.9719708636731</v>
      </c>
      <c r="H157" t="s">
        <v>26</v>
      </c>
      <c r="I157">
        <v>50</v>
      </c>
      <c r="J157">
        <v>79.893472489130602</v>
      </c>
      <c r="K157" t="s">
        <v>28</v>
      </c>
      <c r="L157">
        <v>50</v>
      </c>
      <c r="M157">
        <v>55.8878834546924</v>
      </c>
      <c r="N157">
        <v>64.218644056176899</v>
      </c>
      <c r="O157">
        <v>0</v>
      </c>
      <c r="Q157">
        <v>5</v>
      </c>
      <c r="R157">
        <v>1</v>
      </c>
      <c r="S157">
        <v>2.6776</v>
      </c>
      <c r="T157">
        <v>48703</v>
      </c>
      <c r="U157">
        <v>68792</v>
      </c>
      <c r="V157">
        <v>0.70797476450749997</v>
      </c>
      <c r="W157">
        <f t="shared" si="8"/>
        <v>58747.5</v>
      </c>
      <c r="X157">
        <f t="shared" si="9"/>
        <v>157302.30600000001</v>
      </c>
      <c r="Y157">
        <f t="shared" si="10"/>
        <v>0.16895326481926984</v>
      </c>
      <c r="Z157">
        <f t="shared" si="11"/>
        <v>0.36499663322109932</v>
      </c>
    </row>
    <row r="158" spans="1:26" x14ac:dyDescent="0.25">
      <c r="A158">
        <v>60</v>
      </c>
      <c r="B158" t="s">
        <v>51</v>
      </c>
      <c r="C158" t="s">
        <v>51</v>
      </c>
      <c r="D158" t="s">
        <v>24</v>
      </c>
      <c r="E158" t="s">
        <v>25</v>
      </c>
      <c r="F158">
        <v>0.91693235405126405</v>
      </c>
      <c r="G158">
        <v>0.37977496339625799</v>
      </c>
      <c r="H158" t="s">
        <v>31</v>
      </c>
      <c r="I158">
        <v>4</v>
      </c>
      <c r="J158">
        <v>45.846617702563201</v>
      </c>
      <c r="K158" t="s">
        <v>41</v>
      </c>
      <c r="L158">
        <v>1.5</v>
      </c>
      <c r="M158">
        <v>50.636661786167799</v>
      </c>
      <c r="N158">
        <v>103.51672051126801</v>
      </c>
      <c r="O158">
        <v>0</v>
      </c>
      <c r="Q158">
        <v>5</v>
      </c>
      <c r="R158">
        <v>1</v>
      </c>
      <c r="S158">
        <v>8.9800000000000005E-2</v>
      </c>
      <c r="T158">
        <v>183151</v>
      </c>
      <c r="U158">
        <v>212638</v>
      </c>
      <c r="V158">
        <v>0.86132770248027102</v>
      </c>
      <c r="W158">
        <f t="shared" si="8"/>
        <v>197894.5</v>
      </c>
      <c r="X158">
        <f t="shared" si="9"/>
        <v>17770.926100000001</v>
      </c>
      <c r="Y158">
        <f t="shared" si="10"/>
        <v>0.56912927128434387</v>
      </c>
      <c r="Z158">
        <f t="shared" si="11"/>
        <v>4.1234794076832927E-2</v>
      </c>
    </row>
    <row r="159" spans="1:26" x14ac:dyDescent="0.25">
      <c r="A159">
        <v>61</v>
      </c>
      <c r="B159" t="s">
        <v>51</v>
      </c>
      <c r="C159" t="s">
        <v>51</v>
      </c>
      <c r="D159" t="s">
        <v>24</v>
      </c>
      <c r="E159" t="s">
        <v>25</v>
      </c>
      <c r="F159">
        <v>1.12650004056644E-2</v>
      </c>
      <c r="G159">
        <v>5.2609204556856701</v>
      </c>
      <c r="H159" t="s">
        <v>52</v>
      </c>
      <c r="I159">
        <v>0.1</v>
      </c>
      <c r="J159">
        <v>22.5300008113289</v>
      </c>
      <c r="K159" t="s">
        <v>28</v>
      </c>
      <c r="L159">
        <v>50</v>
      </c>
      <c r="M159">
        <v>21.043681822742599</v>
      </c>
      <c r="N159">
        <v>156.42631736592801</v>
      </c>
      <c r="O159">
        <v>0</v>
      </c>
      <c r="Q159">
        <v>5</v>
      </c>
      <c r="R159">
        <v>1</v>
      </c>
      <c r="S159">
        <v>3.8100000000000002E-2</v>
      </c>
      <c r="T159">
        <v>169516</v>
      </c>
      <c r="U159">
        <v>194714</v>
      </c>
      <c r="V159">
        <v>0.87058968538471804</v>
      </c>
      <c r="W159">
        <f t="shared" si="8"/>
        <v>182115</v>
      </c>
      <c r="X159">
        <f t="shared" si="9"/>
        <v>6938.5815000000002</v>
      </c>
      <c r="Y159">
        <f t="shared" si="10"/>
        <v>0.52374865011381466</v>
      </c>
      <c r="Z159">
        <f t="shared" si="11"/>
        <v>1.6099947618251731E-2</v>
      </c>
    </row>
    <row r="160" spans="1:26" x14ac:dyDescent="0.25">
      <c r="A160">
        <v>62</v>
      </c>
      <c r="B160" t="s">
        <v>51</v>
      </c>
      <c r="C160" t="s">
        <v>51</v>
      </c>
      <c r="D160" t="s">
        <v>24</v>
      </c>
      <c r="E160" t="s">
        <v>25</v>
      </c>
      <c r="F160">
        <v>0.76386411102653295</v>
      </c>
      <c r="G160">
        <v>8.14222022974241</v>
      </c>
      <c r="H160" t="s">
        <v>31</v>
      </c>
      <c r="I160">
        <v>4</v>
      </c>
      <c r="J160">
        <v>38.193205551326599</v>
      </c>
      <c r="K160" t="s">
        <v>28</v>
      </c>
      <c r="L160">
        <v>50</v>
      </c>
      <c r="M160">
        <v>32.568880918969597</v>
      </c>
      <c r="N160">
        <v>129.23791352970301</v>
      </c>
      <c r="O160">
        <v>0</v>
      </c>
      <c r="Q160">
        <v>5</v>
      </c>
      <c r="R160">
        <v>1</v>
      </c>
      <c r="S160">
        <v>6.0900000000000003E-2</v>
      </c>
      <c r="T160">
        <v>185585</v>
      </c>
      <c r="U160">
        <v>234835</v>
      </c>
      <c r="V160">
        <v>0.79027828049481497</v>
      </c>
      <c r="W160">
        <f t="shared" si="8"/>
        <v>210210</v>
      </c>
      <c r="X160">
        <f t="shared" si="9"/>
        <v>12801.789000000001</v>
      </c>
      <c r="Y160">
        <f t="shared" si="10"/>
        <v>0.60454769645786988</v>
      </c>
      <c r="Z160">
        <f t="shared" si="11"/>
        <v>2.9704649620374311E-2</v>
      </c>
    </row>
    <row r="161" spans="1:26" x14ac:dyDescent="0.25">
      <c r="A161">
        <v>63</v>
      </c>
      <c r="B161" t="s">
        <v>51</v>
      </c>
      <c r="C161" t="s">
        <v>51</v>
      </c>
      <c r="D161" t="s">
        <v>24</v>
      </c>
      <c r="E161" t="s">
        <v>25</v>
      </c>
      <c r="F161">
        <v>0.90967979714450298</v>
      </c>
      <c r="G161">
        <v>0.78851706303709301</v>
      </c>
      <c r="H161" t="s">
        <v>31</v>
      </c>
      <c r="I161">
        <v>4</v>
      </c>
      <c r="J161">
        <v>45.483989857225097</v>
      </c>
      <c r="K161" t="s">
        <v>43</v>
      </c>
      <c r="L161">
        <v>4</v>
      </c>
      <c r="M161">
        <v>39.425853151854596</v>
      </c>
      <c r="N161">
        <v>115.09015699091999</v>
      </c>
      <c r="O161">
        <v>0</v>
      </c>
      <c r="Q161">
        <v>5</v>
      </c>
      <c r="R161">
        <v>1</v>
      </c>
      <c r="S161">
        <v>0.2712</v>
      </c>
      <c r="T161">
        <v>102542</v>
      </c>
      <c r="U161">
        <v>124914</v>
      </c>
      <c r="V161">
        <v>0.82090077973645803</v>
      </c>
      <c r="W161">
        <f t="shared" si="8"/>
        <v>113728</v>
      </c>
      <c r="X161">
        <f t="shared" si="9"/>
        <v>30843.033599999999</v>
      </c>
      <c r="Y161">
        <f t="shared" si="10"/>
        <v>0.32707292908406177</v>
      </c>
      <c r="Z161">
        <f t="shared" si="11"/>
        <v>7.1566677619622696E-2</v>
      </c>
    </row>
    <row r="162" spans="1:26" x14ac:dyDescent="0.25">
      <c r="A162">
        <v>64</v>
      </c>
      <c r="B162" t="s">
        <v>51</v>
      </c>
      <c r="C162" t="s">
        <v>51</v>
      </c>
      <c r="D162" t="s">
        <v>24</v>
      </c>
      <c r="E162" t="s">
        <v>25</v>
      </c>
      <c r="F162">
        <v>1.6371778516950199</v>
      </c>
      <c r="G162">
        <v>8.8854426241795199</v>
      </c>
      <c r="H162" t="s">
        <v>31</v>
      </c>
      <c r="I162">
        <v>4</v>
      </c>
      <c r="J162">
        <v>81.858892584751203</v>
      </c>
      <c r="K162" t="s">
        <v>28</v>
      </c>
      <c r="L162">
        <v>50</v>
      </c>
      <c r="M162">
        <v>35.541770496718101</v>
      </c>
      <c r="N162">
        <v>82.599336918530597</v>
      </c>
      <c r="O162">
        <v>0</v>
      </c>
      <c r="Q162">
        <v>5</v>
      </c>
      <c r="R162">
        <v>1</v>
      </c>
      <c r="S162">
        <v>0.14380000000000001</v>
      </c>
      <c r="T162">
        <v>95612</v>
      </c>
      <c r="U162">
        <v>123347</v>
      </c>
      <c r="V162">
        <v>0.77514653781607901</v>
      </c>
      <c r="W162">
        <f t="shared" si="8"/>
        <v>109479.5</v>
      </c>
      <c r="X162">
        <f t="shared" si="9"/>
        <v>15743.152100000001</v>
      </c>
      <c r="Y162">
        <f t="shared" si="10"/>
        <v>0.31485457178230991</v>
      </c>
      <c r="Z162">
        <f t="shared" si="11"/>
        <v>3.6529645743322285E-2</v>
      </c>
    </row>
    <row r="163" spans="1:26" x14ac:dyDescent="0.25">
      <c r="A163">
        <v>65</v>
      </c>
      <c r="B163" t="s">
        <v>51</v>
      </c>
      <c r="C163" t="s">
        <v>51</v>
      </c>
      <c r="D163" t="s">
        <v>24</v>
      </c>
      <c r="E163" t="s">
        <v>25</v>
      </c>
      <c r="F163">
        <v>13.3218698560734</v>
      </c>
      <c r="G163">
        <v>0.48577761844915901</v>
      </c>
      <c r="H163" t="s">
        <v>26</v>
      </c>
      <c r="I163">
        <v>50</v>
      </c>
      <c r="J163">
        <v>53.287479424293899</v>
      </c>
      <c r="K163" t="s">
        <v>41</v>
      </c>
      <c r="L163">
        <v>1.5</v>
      </c>
      <c r="M163">
        <v>64.770349126554507</v>
      </c>
      <c r="N163">
        <v>81.942171449151502</v>
      </c>
      <c r="O163">
        <v>0</v>
      </c>
      <c r="Q163">
        <v>5</v>
      </c>
      <c r="R163">
        <v>1</v>
      </c>
      <c r="S163">
        <v>3.95E-2</v>
      </c>
      <c r="T163">
        <v>245377</v>
      </c>
      <c r="U163">
        <v>313455</v>
      </c>
      <c r="V163">
        <v>0.78281412004912898</v>
      </c>
      <c r="W163">
        <f t="shared" si="8"/>
        <v>279416</v>
      </c>
      <c r="X163">
        <f t="shared" si="9"/>
        <v>11036.932000000001</v>
      </c>
      <c r="Y163">
        <f t="shared" si="10"/>
        <v>0.8035787981231729</v>
      </c>
      <c r="Z163">
        <f t="shared" si="11"/>
        <v>2.5609561128049921E-2</v>
      </c>
    </row>
    <row r="164" spans="1:26" x14ac:dyDescent="0.25">
      <c r="A164">
        <v>66</v>
      </c>
      <c r="B164" t="s">
        <v>51</v>
      </c>
      <c r="C164" t="s">
        <v>51</v>
      </c>
      <c r="D164" t="s">
        <v>24</v>
      </c>
      <c r="E164" t="s">
        <v>25</v>
      </c>
      <c r="F164">
        <v>13.9719708636731</v>
      </c>
      <c r="G164">
        <v>21.453098828095701</v>
      </c>
      <c r="H164" t="s">
        <v>26</v>
      </c>
      <c r="I164">
        <v>50</v>
      </c>
      <c r="J164">
        <v>55.8878834546924</v>
      </c>
      <c r="K164" t="s">
        <v>28</v>
      </c>
      <c r="L164">
        <v>50</v>
      </c>
      <c r="M164">
        <v>85.812395312382804</v>
      </c>
      <c r="N164">
        <v>58.299721232924597</v>
      </c>
      <c r="O164">
        <v>0</v>
      </c>
      <c r="Q164">
        <v>5</v>
      </c>
      <c r="R164">
        <v>1</v>
      </c>
      <c r="S164">
        <v>2.7359</v>
      </c>
      <c r="T164">
        <v>23894</v>
      </c>
      <c r="U164">
        <v>31627</v>
      </c>
      <c r="V164">
        <v>0.75549372371707701</v>
      </c>
      <c r="W164">
        <f t="shared" si="8"/>
        <v>27760.5</v>
      </c>
      <c r="X164">
        <f t="shared" si="9"/>
        <v>75949.951950000002</v>
      </c>
      <c r="Y164">
        <f t="shared" si="10"/>
        <v>7.9837050223674877E-2</v>
      </c>
      <c r="Z164">
        <f t="shared" si="11"/>
        <v>0.17623058084764673</v>
      </c>
    </row>
    <row r="165" spans="1:26" x14ac:dyDescent="0.25">
      <c r="A165">
        <v>67</v>
      </c>
      <c r="B165" t="s">
        <v>51</v>
      </c>
      <c r="C165" t="s">
        <v>51</v>
      </c>
      <c r="D165" t="s">
        <v>24</v>
      </c>
      <c r="E165" t="s">
        <v>25</v>
      </c>
      <c r="F165">
        <v>5.0161353983366697</v>
      </c>
      <c r="G165">
        <v>0.21610522223466</v>
      </c>
      <c r="H165" t="s">
        <v>26</v>
      </c>
      <c r="I165">
        <v>50</v>
      </c>
      <c r="J165">
        <v>20.0645415933466</v>
      </c>
      <c r="K165" t="s">
        <v>54</v>
      </c>
      <c r="L165">
        <v>0.7</v>
      </c>
      <c r="M165">
        <v>61.7443492099029</v>
      </c>
      <c r="N165">
        <v>118.19110919675001</v>
      </c>
      <c r="O165">
        <v>0</v>
      </c>
      <c r="Q165">
        <v>5</v>
      </c>
      <c r="R165">
        <v>1</v>
      </c>
      <c r="S165">
        <v>4.0399999999999998E-2</v>
      </c>
      <c r="T165">
        <v>131186</v>
      </c>
      <c r="U165">
        <v>143711</v>
      </c>
      <c r="V165">
        <v>0.91284591993653896</v>
      </c>
      <c r="W165">
        <f t="shared" si="8"/>
        <v>137448.5</v>
      </c>
      <c r="X165">
        <f t="shared" si="9"/>
        <v>5552.9193999999998</v>
      </c>
      <c r="Y165">
        <f t="shared" si="10"/>
        <v>0.39529125187474207</v>
      </c>
      <c r="Z165">
        <f t="shared" si="11"/>
        <v>1.2884724560542212E-2</v>
      </c>
    </row>
    <row r="166" spans="1:26" x14ac:dyDescent="0.25">
      <c r="A166">
        <v>68</v>
      </c>
      <c r="B166" t="s">
        <v>51</v>
      </c>
      <c r="C166" t="s">
        <v>51</v>
      </c>
      <c r="D166" t="s">
        <v>24</v>
      </c>
      <c r="E166" t="s">
        <v>25</v>
      </c>
      <c r="F166">
        <v>0.30892915530356602</v>
      </c>
      <c r="G166">
        <v>7.1707220004789196</v>
      </c>
      <c r="H166" t="s">
        <v>55</v>
      </c>
      <c r="I166">
        <v>0.7</v>
      </c>
      <c r="J166">
        <v>88.265472943876105</v>
      </c>
      <c r="K166" t="s">
        <v>28</v>
      </c>
      <c r="L166">
        <v>50</v>
      </c>
      <c r="M166">
        <v>28.6828880019157</v>
      </c>
      <c r="N166">
        <v>83.051639054208096</v>
      </c>
      <c r="O166">
        <v>0</v>
      </c>
      <c r="Q166">
        <v>5</v>
      </c>
      <c r="R166">
        <v>1</v>
      </c>
      <c r="S166">
        <v>4.1099999999999998E-2</v>
      </c>
      <c r="T166">
        <v>225714</v>
      </c>
      <c r="U166">
        <v>279608</v>
      </c>
      <c r="V166">
        <v>0.80725158078452597</v>
      </c>
      <c r="W166">
        <f t="shared" si="8"/>
        <v>252661</v>
      </c>
      <c r="X166">
        <f t="shared" si="9"/>
        <v>10384.367099999999</v>
      </c>
      <c r="Y166">
        <f t="shared" si="10"/>
        <v>0.726633488105903</v>
      </c>
      <c r="Z166">
        <f t="shared" si="11"/>
        <v>2.4095381218581437E-2</v>
      </c>
    </row>
    <row r="167" spans="1:26" x14ac:dyDescent="0.25">
      <c r="A167">
        <v>69</v>
      </c>
      <c r="B167" t="s">
        <v>51</v>
      </c>
      <c r="C167" t="s">
        <v>51</v>
      </c>
      <c r="D167" t="s">
        <v>24</v>
      </c>
      <c r="E167" t="s">
        <v>25</v>
      </c>
      <c r="F167">
        <v>4.0481171259102302</v>
      </c>
      <c r="G167">
        <v>0.33181622944273398</v>
      </c>
      <c r="H167" t="s">
        <v>33</v>
      </c>
      <c r="I167">
        <v>10</v>
      </c>
      <c r="J167">
        <v>80.962342518204593</v>
      </c>
      <c r="K167" t="s">
        <v>41</v>
      </c>
      <c r="L167">
        <v>1.5</v>
      </c>
      <c r="M167">
        <v>44.242163925697902</v>
      </c>
      <c r="N167">
        <v>74.795493556097398</v>
      </c>
      <c r="O167">
        <v>0</v>
      </c>
      <c r="Q167">
        <v>5</v>
      </c>
      <c r="R167">
        <v>1</v>
      </c>
      <c r="S167">
        <v>5.4199999999999998E-2</v>
      </c>
      <c r="T167">
        <v>161147</v>
      </c>
      <c r="U167">
        <v>182890</v>
      </c>
      <c r="V167">
        <v>0.881114331018645</v>
      </c>
      <c r="W167">
        <f t="shared" si="8"/>
        <v>172018.5</v>
      </c>
      <c r="X167">
        <f t="shared" si="9"/>
        <v>9323.4027000000006</v>
      </c>
      <c r="Y167">
        <f t="shared" si="10"/>
        <v>0.49471189726053988</v>
      </c>
      <c r="Z167">
        <f t="shared" si="11"/>
        <v>2.1633570938651762E-2</v>
      </c>
    </row>
    <row r="168" spans="1:26" x14ac:dyDescent="0.25">
      <c r="A168">
        <v>70</v>
      </c>
      <c r="B168" t="s">
        <v>51</v>
      </c>
      <c r="C168" t="s">
        <v>51</v>
      </c>
      <c r="D168" t="s">
        <v>24</v>
      </c>
      <c r="E168" t="s">
        <v>25</v>
      </c>
      <c r="F168">
        <v>0.76386411102653295</v>
      </c>
      <c r="G168">
        <v>20.026307892308999</v>
      </c>
      <c r="H168" t="s">
        <v>31</v>
      </c>
      <c r="I168">
        <v>4</v>
      </c>
      <c r="J168">
        <v>38.193205551326599</v>
      </c>
      <c r="K168" t="s">
        <v>28</v>
      </c>
      <c r="L168">
        <v>50</v>
      </c>
      <c r="M168">
        <v>80.105231569236096</v>
      </c>
      <c r="N168">
        <v>81.701562879437205</v>
      </c>
      <c r="O168">
        <v>0</v>
      </c>
      <c r="Q168">
        <v>5</v>
      </c>
      <c r="R168">
        <v>1</v>
      </c>
      <c r="S168">
        <v>3.9600000000000003E-2</v>
      </c>
      <c r="T168">
        <v>269353</v>
      </c>
      <c r="U168">
        <v>345828</v>
      </c>
      <c r="V168">
        <v>0.77886405959031602</v>
      </c>
      <c r="W168">
        <f t="shared" si="8"/>
        <v>307590.5</v>
      </c>
      <c r="X168">
        <f t="shared" si="9"/>
        <v>12180.5838</v>
      </c>
      <c r="Y168">
        <f t="shared" si="10"/>
        <v>0.88460648031646649</v>
      </c>
      <c r="Z168">
        <f t="shared" si="11"/>
        <v>2.8263235236153903E-2</v>
      </c>
    </row>
    <row r="169" spans="1:26" x14ac:dyDescent="0.25">
      <c r="A169">
        <v>71</v>
      </c>
      <c r="B169" t="s">
        <v>51</v>
      </c>
      <c r="C169" t="s">
        <v>51</v>
      </c>
      <c r="D169" t="s">
        <v>24</v>
      </c>
      <c r="E169" t="s">
        <v>25</v>
      </c>
      <c r="F169">
        <v>5.1370701110261603</v>
      </c>
      <c r="G169">
        <v>0.56042171580424305</v>
      </c>
      <c r="H169" t="s">
        <v>26</v>
      </c>
      <c r="I169">
        <v>50</v>
      </c>
      <c r="J169">
        <v>20.548280444104599</v>
      </c>
      <c r="K169" t="s">
        <v>41</v>
      </c>
      <c r="L169">
        <v>1.5</v>
      </c>
      <c r="M169">
        <v>74.722895440565793</v>
      </c>
      <c r="N169">
        <v>104.728824115329</v>
      </c>
      <c r="O169">
        <v>0</v>
      </c>
      <c r="Q169">
        <v>5</v>
      </c>
      <c r="R169">
        <v>1</v>
      </c>
      <c r="S169">
        <v>5.5199999999999999E-2</v>
      </c>
      <c r="T169">
        <v>156693</v>
      </c>
      <c r="U169">
        <v>182163</v>
      </c>
      <c r="V169">
        <v>0.86018016831079802</v>
      </c>
      <c r="W169">
        <f t="shared" si="8"/>
        <v>169428</v>
      </c>
      <c r="X169">
        <f t="shared" si="9"/>
        <v>9352.4256000000005</v>
      </c>
      <c r="Y169">
        <f t="shared" si="10"/>
        <v>0.48726181968252691</v>
      </c>
      <c r="Z169">
        <f t="shared" si="11"/>
        <v>2.1700914266640309E-2</v>
      </c>
    </row>
    <row r="170" spans="1:26" x14ac:dyDescent="0.25">
      <c r="A170">
        <v>72</v>
      </c>
      <c r="B170" t="s">
        <v>51</v>
      </c>
      <c r="C170" t="s">
        <v>51</v>
      </c>
      <c r="D170" t="s">
        <v>24</v>
      </c>
      <c r="E170" t="s">
        <v>25</v>
      </c>
      <c r="F170">
        <v>8.0778186244302201</v>
      </c>
      <c r="G170">
        <v>5.4272922242260498E-2</v>
      </c>
      <c r="H170" t="s">
        <v>26</v>
      </c>
      <c r="I170">
        <v>50</v>
      </c>
      <c r="J170">
        <v>32.311274497720902</v>
      </c>
      <c r="K170" t="s">
        <v>56</v>
      </c>
      <c r="L170">
        <v>0.3</v>
      </c>
      <c r="M170">
        <v>36.181948161507002</v>
      </c>
      <c r="N170">
        <v>131.506777340772</v>
      </c>
      <c r="O170">
        <v>0</v>
      </c>
      <c r="Q170">
        <v>5</v>
      </c>
      <c r="R170">
        <v>1</v>
      </c>
      <c r="S170">
        <v>3.8199999999999998E-2</v>
      </c>
      <c r="T170">
        <v>218000</v>
      </c>
      <c r="U170">
        <v>262836</v>
      </c>
      <c r="V170">
        <v>0.829414539865163</v>
      </c>
      <c r="W170">
        <f t="shared" si="8"/>
        <v>240418</v>
      </c>
      <c r="X170">
        <f t="shared" si="9"/>
        <v>9183.9675999999999</v>
      </c>
      <c r="Y170">
        <f t="shared" si="10"/>
        <v>0.69142356732319188</v>
      </c>
      <c r="Z170">
        <f t="shared" si="11"/>
        <v>2.1310032502712701E-2</v>
      </c>
    </row>
    <row r="171" spans="1:26" x14ac:dyDescent="0.25">
      <c r="A171">
        <v>73</v>
      </c>
      <c r="B171" t="s">
        <v>51</v>
      </c>
      <c r="C171" t="s">
        <v>51</v>
      </c>
      <c r="D171" t="s">
        <v>24</v>
      </c>
      <c r="E171" t="s">
        <v>25</v>
      </c>
      <c r="F171">
        <v>7.00191192271829</v>
      </c>
      <c r="G171">
        <v>0.23211541796476501</v>
      </c>
      <c r="H171" t="s">
        <v>26</v>
      </c>
      <c r="I171">
        <v>50</v>
      </c>
      <c r="J171">
        <v>28.0076476908731</v>
      </c>
      <c r="K171" t="s">
        <v>54</v>
      </c>
      <c r="L171">
        <v>0.7</v>
      </c>
      <c r="M171">
        <v>66.3186908470758</v>
      </c>
      <c r="N171">
        <v>105.673661462051</v>
      </c>
      <c r="O171">
        <v>0</v>
      </c>
      <c r="Q171">
        <v>5</v>
      </c>
      <c r="R171">
        <v>1</v>
      </c>
      <c r="S171">
        <v>3.9600000000000003E-2</v>
      </c>
      <c r="T171">
        <v>191790</v>
      </c>
      <c r="U171">
        <v>233024</v>
      </c>
      <c r="V171">
        <v>0.82304826970612399</v>
      </c>
      <c r="W171">
        <f t="shared" si="8"/>
        <v>212407</v>
      </c>
      <c r="X171">
        <f t="shared" si="9"/>
        <v>8411.3172000000013</v>
      </c>
      <c r="Y171">
        <f t="shared" si="10"/>
        <v>0.61086609848021867</v>
      </c>
      <c r="Z171">
        <f t="shared" si="11"/>
        <v>1.9517212029648977E-2</v>
      </c>
    </row>
    <row r="172" spans="1:26" x14ac:dyDescent="0.25">
      <c r="A172">
        <v>74</v>
      </c>
      <c r="B172" t="s">
        <v>51</v>
      </c>
      <c r="C172" t="s">
        <v>51</v>
      </c>
      <c r="D172" t="s">
        <v>24</v>
      </c>
      <c r="E172" t="s">
        <v>25</v>
      </c>
      <c r="F172">
        <v>0.16237170601161299</v>
      </c>
      <c r="G172">
        <v>0.287620720532133</v>
      </c>
      <c r="H172" t="s">
        <v>55</v>
      </c>
      <c r="I172">
        <v>0.7</v>
      </c>
      <c r="J172">
        <v>46.391916003318002</v>
      </c>
      <c r="K172" t="s">
        <v>54</v>
      </c>
      <c r="L172">
        <v>0.7</v>
      </c>
      <c r="M172">
        <v>82.177348723466807</v>
      </c>
      <c r="N172">
        <v>71.430735273215106</v>
      </c>
      <c r="O172">
        <v>0</v>
      </c>
      <c r="Q172">
        <v>5</v>
      </c>
      <c r="R172">
        <v>1</v>
      </c>
      <c r="S172">
        <v>5.2999999999999999E-2</v>
      </c>
      <c r="T172">
        <v>251297</v>
      </c>
      <c r="U172">
        <v>291987</v>
      </c>
      <c r="V172">
        <v>0.86064448074743005</v>
      </c>
      <c r="W172">
        <f t="shared" si="8"/>
        <v>271642</v>
      </c>
      <c r="X172">
        <f t="shared" si="9"/>
        <v>14397.026</v>
      </c>
      <c r="Y172">
        <f t="shared" si="10"/>
        <v>0.78122137558255411</v>
      </c>
      <c r="Z172">
        <f t="shared" si="11"/>
        <v>3.3406160100390582E-2</v>
      </c>
    </row>
    <row r="173" spans="1:26" x14ac:dyDescent="0.25">
      <c r="A173">
        <v>75</v>
      </c>
      <c r="B173" t="s">
        <v>51</v>
      </c>
      <c r="C173" t="s">
        <v>51</v>
      </c>
      <c r="D173" t="s">
        <v>24</v>
      </c>
      <c r="E173" t="s">
        <v>25</v>
      </c>
      <c r="F173">
        <v>2.4546070684397598</v>
      </c>
      <c r="G173">
        <v>3.1647681468413</v>
      </c>
      <c r="H173" t="s">
        <v>33</v>
      </c>
      <c r="I173">
        <v>10</v>
      </c>
      <c r="J173">
        <v>49.092141368795303</v>
      </c>
      <c r="K173" t="s">
        <v>47</v>
      </c>
      <c r="L173">
        <v>10</v>
      </c>
      <c r="M173">
        <v>63.295362936826002</v>
      </c>
      <c r="N173">
        <v>87.612495694378495</v>
      </c>
      <c r="O173">
        <v>0</v>
      </c>
      <c r="Q173">
        <v>5</v>
      </c>
      <c r="R173">
        <v>1</v>
      </c>
      <c r="S173">
        <v>0.57609999999999995</v>
      </c>
      <c r="T173">
        <v>32052</v>
      </c>
      <c r="U173">
        <v>41054</v>
      </c>
      <c r="V173">
        <v>0.78072782189311596</v>
      </c>
      <c r="W173">
        <f t="shared" si="8"/>
        <v>36553</v>
      </c>
      <c r="X173">
        <f t="shared" si="9"/>
        <v>21058.183299999997</v>
      </c>
      <c r="Y173">
        <f t="shared" si="10"/>
        <v>0.10512359996491374</v>
      </c>
      <c r="Z173">
        <f t="shared" si="11"/>
        <v>4.8862386074955425E-2</v>
      </c>
    </row>
    <row r="174" spans="1:26" x14ac:dyDescent="0.25">
      <c r="A174">
        <v>76</v>
      </c>
      <c r="B174" t="s">
        <v>51</v>
      </c>
      <c r="C174" t="s">
        <v>51</v>
      </c>
      <c r="D174" t="s">
        <v>24</v>
      </c>
      <c r="E174" t="s">
        <v>25</v>
      </c>
      <c r="F174">
        <v>6.51895399880868</v>
      </c>
      <c r="G174">
        <v>0.17440104416177599</v>
      </c>
      <c r="H174" t="s">
        <v>26</v>
      </c>
      <c r="I174">
        <v>50</v>
      </c>
      <c r="J174">
        <v>26.075815995234699</v>
      </c>
      <c r="K174" t="s">
        <v>54</v>
      </c>
      <c r="L174">
        <v>0.7</v>
      </c>
      <c r="M174">
        <v>49.828869760507601</v>
      </c>
      <c r="N174">
        <v>124.095314244257</v>
      </c>
      <c r="O174">
        <v>0</v>
      </c>
      <c r="Q174">
        <v>5</v>
      </c>
      <c r="R174">
        <v>1</v>
      </c>
      <c r="S174">
        <v>4.0300000000000002E-2</v>
      </c>
      <c r="T174">
        <v>161656</v>
      </c>
      <c r="U174">
        <v>188403</v>
      </c>
      <c r="V174">
        <v>0.85803304618291598</v>
      </c>
      <c r="W174">
        <f t="shared" si="8"/>
        <v>175029.5</v>
      </c>
      <c r="X174">
        <f t="shared" si="9"/>
        <v>7053.6888500000005</v>
      </c>
      <c r="Y174">
        <f t="shared" si="10"/>
        <v>0.50337130030527921</v>
      </c>
      <c r="Z174">
        <f t="shared" si="11"/>
        <v>1.6367037124294971E-2</v>
      </c>
    </row>
    <row r="175" spans="1:26" x14ac:dyDescent="0.25">
      <c r="A175">
        <v>77</v>
      </c>
      <c r="B175" t="s">
        <v>51</v>
      </c>
      <c r="C175" t="s">
        <v>51</v>
      </c>
      <c r="D175" t="s">
        <v>24</v>
      </c>
      <c r="E175" t="s">
        <v>25</v>
      </c>
      <c r="F175">
        <v>5.3877567256957697</v>
      </c>
      <c r="G175">
        <v>0.28084967625021101</v>
      </c>
      <c r="H175" t="s">
        <v>26</v>
      </c>
      <c r="I175">
        <v>50</v>
      </c>
      <c r="J175">
        <v>21.551026902783001</v>
      </c>
      <c r="K175" t="s">
        <v>54</v>
      </c>
      <c r="L175">
        <v>0.7</v>
      </c>
      <c r="M175">
        <v>80.242764642917393</v>
      </c>
      <c r="N175">
        <v>98.2062084542994</v>
      </c>
      <c r="O175">
        <v>0</v>
      </c>
      <c r="Q175">
        <v>5</v>
      </c>
      <c r="R175">
        <v>1</v>
      </c>
      <c r="S175">
        <v>4.41E-2</v>
      </c>
      <c r="T175">
        <v>165067</v>
      </c>
      <c r="U175">
        <v>196393</v>
      </c>
      <c r="V175">
        <v>0.84049329660425698</v>
      </c>
      <c r="W175">
        <f t="shared" si="8"/>
        <v>180730</v>
      </c>
      <c r="X175">
        <f t="shared" si="9"/>
        <v>7970.1930000000002</v>
      </c>
      <c r="Y175">
        <f t="shared" si="10"/>
        <v>0.51976549726859245</v>
      </c>
      <c r="Z175">
        <f t="shared" si="11"/>
        <v>1.8493648854215609E-2</v>
      </c>
    </row>
    <row r="176" spans="1:26" x14ac:dyDescent="0.25">
      <c r="A176">
        <v>78</v>
      </c>
      <c r="B176" t="s">
        <v>51</v>
      </c>
      <c r="C176" t="s">
        <v>51</v>
      </c>
      <c r="D176" t="s">
        <v>24</v>
      </c>
      <c r="E176" t="s">
        <v>25</v>
      </c>
      <c r="F176">
        <v>7.6410469004030102</v>
      </c>
      <c r="G176">
        <v>1.1272097347188901</v>
      </c>
      <c r="H176" t="s">
        <v>26</v>
      </c>
      <c r="I176">
        <v>50</v>
      </c>
      <c r="J176">
        <v>30.564187601612002</v>
      </c>
      <c r="K176" t="s">
        <v>43</v>
      </c>
      <c r="L176">
        <v>4</v>
      </c>
      <c r="M176">
        <v>56.360486735944498</v>
      </c>
      <c r="N176">
        <v>113.07532566244301</v>
      </c>
      <c r="O176">
        <v>0</v>
      </c>
      <c r="Q176">
        <v>5</v>
      </c>
      <c r="R176">
        <v>1</v>
      </c>
      <c r="S176">
        <v>0.12280000000000001</v>
      </c>
      <c r="T176">
        <v>94515</v>
      </c>
      <c r="U176">
        <v>119090</v>
      </c>
      <c r="V176">
        <v>0.79364346292719701</v>
      </c>
      <c r="W176">
        <f t="shared" si="8"/>
        <v>106802.5</v>
      </c>
      <c r="X176">
        <f t="shared" si="9"/>
        <v>13115.347000000002</v>
      </c>
      <c r="Y176">
        <f t="shared" si="10"/>
        <v>0.30715572689663501</v>
      </c>
      <c r="Z176">
        <f t="shared" si="11"/>
        <v>3.0432214379148677E-2</v>
      </c>
    </row>
    <row r="177" spans="1:26" x14ac:dyDescent="0.25">
      <c r="A177">
        <v>79</v>
      </c>
      <c r="B177" t="s">
        <v>51</v>
      </c>
      <c r="C177" t="s">
        <v>51</v>
      </c>
      <c r="D177" t="s">
        <v>24</v>
      </c>
      <c r="E177" t="s">
        <v>25</v>
      </c>
      <c r="F177">
        <v>6.2156339729889902</v>
      </c>
      <c r="G177">
        <v>0.42107557207609098</v>
      </c>
      <c r="H177" t="s">
        <v>26</v>
      </c>
      <c r="I177">
        <v>50</v>
      </c>
      <c r="J177">
        <v>24.862535891955901</v>
      </c>
      <c r="K177" t="s">
        <v>41</v>
      </c>
      <c r="L177">
        <v>1.5</v>
      </c>
      <c r="M177">
        <v>56.143409610145497</v>
      </c>
      <c r="N177">
        <v>118.99405449789801</v>
      </c>
      <c r="O177">
        <v>0</v>
      </c>
      <c r="Q177">
        <v>5</v>
      </c>
      <c r="R177">
        <v>1</v>
      </c>
      <c r="S177">
        <v>4.9500000000000002E-2</v>
      </c>
      <c r="T177">
        <v>148538</v>
      </c>
      <c r="U177">
        <v>169236</v>
      </c>
      <c r="V177">
        <v>0.87769741662530398</v>
      </c>
      <c r="W177">
        <f t="shared" si="8"/>
        <v>158887</v>
      </c>
      <c r="X177">
        <f t="shared" si="9"/>
        <v>7864.9065000000001</v>
      </c>
      <c r="Y177">
        <f t="shared" si="10"/>
        <v>0.45694671921935959</v>
      </c>
      <c r="Z177">
        <f t="shared" si="11"/>
        <v>1.8249347171672991E-2</v>
      </c>
    </row>
    <row r="178" spans="1:26" x14ac:dyDescent="0.25">
      <c r="A178">
        <v>80</v>
      </c>
      <c r="B178" t="s">
        <v>51</v>
      </c>
      <c r="C178" t="s">
        <v>51</v>
      </c>
      <c r="D178" t="s">
        <v>24</v>
      </c>
      <c r="E178" t="s">
        <v>25</v>
      </c>
      <c r="F178">
        <v>4.7827399304722604</v>
      </c>
      <c r="G178">
        <v>16.905484039132698</v>
      </c>
      <c r="H178" t="s">
        <v>26</v>
      </c>
      <c r="I178">
        <v>50</v>
      </c>
      <c r="J178">
        <v>19.130959721888999</v>
      </c>
      <c r="K178" t="s">
        <v>28</v>
      </c>
      <c r="L178">
        <v>50</v>
      </c>
      <c r="M178">
        <v>67.621936156531106</v>
      </c>
      <c r="N178">
        <v>113.247104121579</v>
      </c>
      <c r="O178">
        <v>0</v>
      </c>
      <c r="Q178">
        <v>5</v>
      </c>
      <c r="R178">
        <v>1</v>
      </c>
      <c r="S178">
        <v>3.9899999999999998E-2</v>
      </c>
      <c r="T178">
        <v>222826</v>
      </c>
      <c r="U178">
        <v>282718</v>
      </c>
      <c r="V178">
        <v>0.78815639612617505</v>
      </c>
      <c r="W178">
        <f t="shared" si="8"/>
        <v>252772</v>
      </c>
      <c r="X178">
        <f t="shared" si="9"/>
        <v>10085.602799999999</v>
      </c>
      <c r="Y178">
        <f t="shared" si="10"/>
        <v>0.72695271551804719</v>
      </c>
      <c r="Z178">
        <f t="shared" si="11"/>
        <v>2.340214304299704E-2</v>
      </c>
    </row>
    <row r="179" spans="1:26" x14ac:dyDescent="0.25">
      <c r="A179">
        <v>81</v>
      </c>
      <c r="B179" t="s">
        <v>51</v>
      </c>
      <c r="C179" t="s">
        <v>51</v>
      </c>
      <c r="D179" t="s">
        <v>24</v>
      </c>
      <c r="E179" t="s">
        <v>25</v>
      </c>
      <c r="F179">
        <v>18.4486177265251</v>
      </c>
      <c r="G179">
        <v>18.4486177265251</v>
      </c>
      <c r="H179" t="s">
        <v>26</v>
      </c>
      <c r="I179">
        <v>50</v>
      </c>
      <c r="J179">
        <v>73.7944709061004</v>
      </c>
      <c r="K179" t="s">
        <v>28</v>
      </c>
      <c r="L179">
        <v>50</v>
      </c>
      <c r="M179">
        <v>73.7944709061004</v>
      </c>
      <c r="N179">
        <v>52.411058187799</v>
      </c>
      <c r="O179">
        <v>0</v>
      </c>
      <c r="Q179">
        <v>5</v>
      </c>
      <c r="R179">
        <v>1</v>
      </c>
      <c r="S179">
        <v>2.8397999999999999</v>
      </c>
      <c r="T179">
        <v>45634</v>
      </c>
      <c r="U179">
        <v>64453</v>
      </c>
      <c r="V179">
        <v>0.70801979737172804</v>
      </c>
      <c r="W179">
        <f t="shared" si="8"/>
        <v>55043.5</v>
      </c>
      <c r="X179">
        <f t="shared" si="9"/>
        <v>156312.5313</v>
      </c>
      <c r="Y179">
        <f t="shared" si="10"/>
        <v>0.15830084739060349</v>
      </c>
      <c r="Z179">
        <f t="shared" si="11"/>
        <v>0.36270000806452068</v>
      </c>
    </row>
    <row r="180" spans="1:26" x14ac:dyDescent="0.25">
      <c r="A180">
        <v>82</v>
      </c>
      <c r="B180" t="s">
        <v>51</v>
      </c>
      <c r="C180" t="s">
        <v>51</v>
      </c>
      <c r="D180" t="s">
        <v>24</v>
      </c>
      <c r="E180" t="s">
        <v>25</v>
      </c>
      <c r="F180">
        <v>21.970314600208901</v>
      </c>
      <c r="G180">
        <v>8.6762653251257902</v>
      </c>
      <c r="H180" t="s">
        <v>26</v>
      </c>
      <c r="I180">
        <v>50</v>
      </c>
      <c r="J180">
        <v>87.881258400835705</v>
      </c>
      <c r="K180" t="s">
        <v>28</v>
      </c>
      <c r="L180">
        <v>50</v>
      </c>
      <c r="M180">
        <v>34.705061300503097</v>
      </c>
      <c r="N180">
        <v>77.413680298661006</v>
      </c>
      <c r="O180">
        <v>0</v>
      </c>
      <c r="Q180">
        <v>5</v>
      </c>
      <c r="R180">
        <v>1</v>
      </c>
      <c r="S180">
        <v>2.4272</v>
      </c>
      <c r="T180">
        <v>47018</v>
      </c>
      <c r="U180">
        <v>64931</v>
      </c>
      <c r="V180">
        <v>0.72412253007038196</v>
      </c>
      <c r="W180">
        <f t="shared" si="8"/>
        <v>55974.5</v>
      </c>
      <c r="X180">
        <f t="shared" si="9"/>
        <v>135861.3064</v>
      </c>
      <c r="Y180">
        <f t="shared" si="10"/>
        <v>0.16097833136092973</v>
      </c>
      <c r="Z180">
        <f t="shared" si="11"/>
        <v>0.31524597879080163</v>
      </c>
    </row>
    <row r="181" spans="1:26" x14ac:dyDescent="0.25">
      <c r="A181">
        <v>83</v>
      </c>
      <c r="B181" t="s">
        <v>51</v>
      </c>
      <c r="C181" t="s">
        <v>51</v>
      </c>
      <c r="D181" t="s">
        <v>24</v>
      </c>
      <c r="E181" t="s">
        <v>25</v>
      </c>
      <c r="F181">
        <v>9.7738132407194591</v>
      </c>
      <c r="G181">
        <v>1.8578142975259199E-2</v>
      </c>
      <c r="H181" t="s">
        <v>26</v>
      </c>
      <c r="I181">
        <v>50</v>
      </c>
      <c r="J181">
        <v>39.095252962877801</v>
      </c>
      <c r="K181" t="s">
        <v>53</v>
      </c>
      <c r="L181">
        <v>0.1</v>
      </c>
      <c r="M181">
        <v>37.156285950518502</v>
      </c>
      <c r="N181">
        <v>123.748461086603</v>
      </c>
      <c r="O181">
        <v>0</v>
      </c>
      <c r="Q181">
        <v>5</v>
      </c>
      <c r="R181">
        <v>1</v>
      </c>
      <c r="S181">
        <v>3.8899999999999997E-2</v>
      </c>
      <c r="T181">
        <v>284803</v>
      </c>
      <c r="U181">
        <v>356775</v>
      </c>
      <c r="V181">
        <v>0.79827061873729899</v>
      </c>
      <c r="W181">
        <f t="shared" si="8"/>
        <v>320789</v>
      </c>
      <c r="X181">
        <f t="shared" si="9"/>
        <v>12478.692099999998</v>
      </c>
      <c r="Y181">
        <f t="shared" si="10"/>
        <v>0.92256434517398611</v>
      </c>
      <c r="Z181">
        <f t="shared" si="11"/>
        <v>2.8954951261189573E-2</v>
      </c>
    </row>
    <row r="182" spans="1:26" x14ac:dyDescent="0.25">
      <c r="A182">
        <v>84</v>
      </c>
      <c r="B182" t="s">
        <v>51</v>
      </c>
      <c r="C182" t="s">
        <v>51</v>
      </c>
      <c r="D182" t="s">
        <v>24</v>
      </c>
      <c r="E182" t="s">
        <v>25</v>
      </c>
      <c r="F182">
        <v>6.6761203761643104</v>
      </c>
      <c r="G182">
        <v>14.0833644706395</v>
      </c>
      <c r="H182" t="s">
        <v>26</v>
      </c>
      <c r="I182">
        <v>50</v>
      </c>
      <c r="J182">
        <v>26.704481504657199</v>
      </c>
      <c r="K182" t="s">
        <v>28</v>
      </c>
      <c r="L182">
        <v>50</v>
      </c>
      <c r="M182">
        <v>56.333457882558001</v>
      </c>
      <c r="N182">
        <v>116.962060612784</v>
      </c>
      <c r="O182">
        <v>0</v>
      </c>
      <c r="Q182">
        <v>5</v>
      </c>
      <c r="R182">
        <v>1</v>
      </c>
      <c r="S182">
        <v>1.7024999999999999</v>
      </c>
      <c r="T182">
        <v>22083</v>
      </c>
      <c r="U182">
        <v>27783</v>
      </c>
      <c r="V182">
        <v>0.79483857034877403</v>
      </c>
      <c r="W182">
        <f t="shared" si="8"/>
        <v>24933</v>
      </c>
      <c r="X182">
        <f t="shared" si="9"/>
        <v>42448.432499999995</v>
      </c>
      <c r="Y182">
        <f t="shared" si="10"/>
        <v>7.1705378981894635E-2</v>
      </c>
      <c r="Z182">
        <f t="shared" si="11"/>
        <v>9.8495281741216745E-2</v>
      </c>
    </row>
    <row r="183" spans="1:26" x14ac:dyDescent="0.25">
      <c r="A183">
        <v>85</v>
      </c>
      <c r="B183" t="s">
        <v>51</v>
      </c>
      <c r="C183" t="s">
        <v>51</v>
      </c>
      <c r="D183" t="s">
        <v>24</v>
      </c>
      <c r="E183" t="s">
        <v>25</v>
      </c>
      <c r="F183">
        <v>4.89804767905337</v>
      </c>
      <c r="G183">
        <v>11.639557766626201</v>
      </c>
      <c r="H183" t="s">
        <v>26</v>
      </c>
      <c r="I183">
        <v>50</v>
      </c>
      <c r="J183">
        <v>19.592190716213501</v>
      </c>
      <c r="K183" t="s">
        <v>28</v>
      </c>
      <c r="L183">
        <v>50</v>
      </c>
      <c r="M183">
        <v>46.558231066505002</v>
      </c>
      <c r="N183">
        <v>133.84957821728099</v>
      </c>
      <c r="O183">
        <v>0</v>
      </c>
      <c r="Q183">
        <v>5</v>
      </c>
      <c r="R183">
        <v>1</v>
      </c>
      <c r="S183">
        <v>1.3134999999999999</v>
      </c>
      <c r="T183">
        <v>31398</v>
      </c>
      <c r="U183">
        <v>41473</v>
      </c>
      <c r="V183">
        <v>0.75707086538229695</v>
      </c>
      <c r="W183">
        <f t="shared" si="8"/>
        <v>36435.5</v>
      </c>
      <c r="X183">
        <f t="shared" si="9"/>
        <v>47858.02925</v>
      </c>
      <c r="Y183">
        <f t="shared" si="10"/>
        <v>0.10478567905566205</v>
      </c>
      <c r="Z183">
        <f t="shared" si="11"/>
        <v>0.11104744738355514</v>
      </c>
    </row>
    <row r="184" spans="1:26" x14ac:dyDescent="0.25">
      <c r="A184">
        <v>86</v>
      </c>
      <c r="B184" t="s">
        <v>51</v>
      </c>
      <c r="C184" t="s">
        <v>51</v>
      </c>
      <c r="D184" t="s">
        <v>24</v>
      </c>
      <c r="E184" t="s">
        <v>25</v>
      </c>
      <c r="F184">
        <v>5.1370701110261603</v>
      </c>
      <c r="G184">
        <v>20.293118962673201</v>
      </c>
      <c r="H184" t="s">
        <v>26</v>
      </c>
      <c r="I184">
        <v>50</v>
      </c>
      <c r="J184">
        <v>20.548280444104599</v>
      </c>
      <c r="K184" t="s">
        <v>28</v>
      </c>
      <c r="L184">
        <v>50</v>
      </c>
      <c r="M184">
        <v>81.172475850693004</v>
      </c>
      <c r="N184">
        <v>98.279243705202205</v>
      </c>
      <c r="O184">
        <v>0</v>
      </c>
      <c r="Q184">
        <v>5</v>
      </c>
      <c r="R184">
        <v>1</v>
      </c>
      <c r="S184">
        <v>1.6304000000000001</v>
      </c>
      <c r="T184">
        <v>27393</v>
      </c>
      <c r="U184">
        <v>35439</v>
      </c>
      <c r="V184">
        <v>0.77296199102683405</v>
      </c>
      <c r="W184">
        <f t="shared" si="8"/>
        <v>31416</v>
      </c>
      <c r="X184">
        <f t="shared" si="9"/>
        <v>51220.646400000005</v>
      </c>
      <c r="Y184">
        <f t="shared" si="10"/>
        <v>9.0349985404692648E-2</v>
      </c>
      <c r="Z184">
        <f t="shared" si="11"/>
        <v>0.11884990095064735</v>
      </c>
    </row>
    <row r="185" spans="1:26" x14ac:dyDescent="0.25">
      <c r="A185">
        <v>87</v>
      </c>
      <c r="B185" t="s">
        <v>51</v>
      </c>
      <c r="C185" t="s">
        <v>51</v>
      </c>
      <c r="D185" t="s">
        <v>24</v>
      </c>
      <c r="E185" t="s">
        <v>25</v>
      </c>
      <c r="F185">
        <v>3.2929537879317401</v>
      </c>
      <c r="G185">
        <v>17.313060727718</v>
      </c>
      <c r="H185" t="s">
        <v>33</v>
      </c>
      <c r="I185">
        <v>10</v>
      </c>
      <c r="J185">
        <v>65.859075758634802</v>
      </c>
      <c r="K185" t="s">
        <v>28</v>
      </c>
      <c r="L185">
        <v>50</v>
      </c>
      <c r="M185">
        <v>69.252242910872198</v>
      </c>
      <c r="N185">
        <v>64.888681330492901</v>
      </c>
      <c r="O185">
        <v>0</v>
      </c>
      <c r="Q185">
        <v>5</v>
      </c>
      <c r="R185">
        <v>1</v>
      </c>
      <c r="S185">
        <v>0.91830000000000001</v>
      </c>
      <c r="T185">
        <v>42326</v>
      </c>
      <c r="U185">
        <v>56315</v>
      </c>
      <c r="V185">
        <v>0.75159371393056895</v>
      </c>
      <c r="W185">
        <f t="shared" si="8"/>
        <v>49320.5</v>
      </c>
      <c r="X185">
        <f t="shared" si="9"/>
        <v>45291.015149999999</v>
      </c>
      <c r="Y185">
        <f t="shared" si="10"/>
        <v>0.14184194216807181</v>
      </c>
      <c r="Z185">
        <f t="shared" si="11"/>
        <v>0.1050910725041488</v>
      </c>
    </row>
    <row r="186" spans="1:26" x14ac:dyDescent="0.25">
      <c r="A186">
        <v>88</v>
      </c>
      <c r="B186" t="s">
        <v>51</v>
      </c>
      <c r="C186" t="s">
        <v>51</v>
      </c>
      <c r="D186" t="s">
        <v>24</v>
      </c>
      <c r="E186" t="s">
        <v>25</v>
      </c>
      <c r="F186">
        <v>3.453648390014</v>
      </c>
      <c r="G186">
        <v>13.3218698560734</v>
      </c>
      <c r="H186" t="s">
        <v>33</v>
      </c>
      <c r="I186">
        <v>10</v>
      </c>
      <c r="J186">
        <v>69.072967800280097</v>
      </c>
      <c r="K186" t="s">
        <v>28</v>
      </c>
      <c r="L186">
        <v>50</v>
      </c>
      <c r="M186">
        <v>53.287479424293799</v>
      </c>
      <c r="N186">
        <v>77.639552775425898</v>
      </c>
      <c r="O186">
        <v>0</v>
      </c>
      <c r="Q186">
        <v>5</v>
      </c>
      <c r="R186">
        <v>1</v>
      </c>
      <c r="S186">
        <v>0.86019999999999996</v>
      </c>
      <c r="T186">
        <v>37557</v>
      </c>
      <c r="U186">
        <v>50442</v>
      </c>
      <c r="V186">
        <v>0.74455810633995401</v>
      </c>
      <c r="W186">
        <f t="shared" si="8"/>
        <v>43999.5</v>
      </c>
      <c r="X186">
        <f t="shared" si="9"/>
        <v>37848.369899999998</v>
      </c>
      <c r="Y186">
        <f t="shared" si="10"/>
        <v>0.12653915784357569</v>
      </c>
      <c r="Z186">
        <f t="shared" si="11"/>
        <v>8.7821519834596656E-2</v>
      </c>
    </row>
    <row r="187" spans="1:26" x14ac:dyDescent="0.25">
      <c r="A187">
        <v>89</v>
      </c>
      <c r="B187" t="s">
        <v>51</v>
      </c>
      <c r="C187" t="s">
        <v>51</v>
      </c>
      <c r="D187" t="s">
        <v>24</v>
      </c>
      <c r="E187" t="s">
        <v>25</v>
      </c>
      <c r="F187">
        <v>8.6076396432741191</v>
      </c>
      <c r="G187">
        <v>0.53011943119317095</v>
      </c>
      <c r="H187" t="s">
        <v>26</v>
      </c>
      <c r="I187">
        <v>50</v>
      </c>
      <c r="J187">
        <v>34.430558573096398</v>
      </c>
      <c r="K187" t="s">
        <v>41</v>
      </c>
      <c r="L187">
        <v>1.5</v>
      </c>
      <c r="M187">
        <v>70.682590825756094</v>
      </c>
      <c r="N187">
        <v>94.886850601147302</v>
      </c>
      <c r="O187">
        <v>0</v>
      </c>
      <c r="Q187">
        <v>5</v>
      </c>
      <c r="R187">
        <v>1</v>
      </c>
      <c r="S187">
        <v>4.1000000000000002E-2</v>
      </c>
      <c r="T187">
        <v>202777</v>
      </c>
      <c r="U187">
        <v>254728</v>
      </c>
      <c r="V187">
        <v>0.79605304481643102</v>
      </c>
      <c r="W187">
        <f t="shared" si="8"/>
        <v>228752.5</v>
      </c>
      <c r="X187">
        <f t="shared" si="9"/>
        <v>9378.8525000000009</v>
      </c>
      <c r="Y187">
        <f t="shared" si="10"/>
        <v>0.65787449186042002</v>
      </c>
      <c r="Z187">
        <f t="shared" si="11"/>
        <v>2.1762233962274464E-2</v>
      </c>
    </row>
    <row r="188" spans="1:26" x14ac:dyDescent="0.25">
      <c r="A188">
        <v>90</v>
      </c>
      <c r="B188" t="s">
        <v>51</v>
      </c>
      <c r="C188" t="s">
        <v>51</v>
      </c>
      <c r="D188" t="s">
        <v>24</v>
      </c>
      <c r="E188" t="s">
        <v>25</v>
      </c>
      <c r="F188">
        <v>7.4021498981992497</v>
      </c>
      <c r="G188">
        <v>18.595702063599202</v>
      </c>
      <c r="H188" t="s">
        <v>26</v>
      </c>
      <c r="I188">
        <v>50</v>
      </c>
      <c r="J188">
        <v>29.608599592796999</v>
      </c>
      <c r="K188" t="s">
        <v>28</v>
      </c>
      <c r="L188">
        <v>50</v>
      </c>
      <c r="M188">
        <v>74.382808254396807</v>
      </c>
      <c r="N188">
        <v>96.008592152806102</v>
      </c>
      <c r="O188">
        <v>0</v>
      </c>
      <c r="Q188">
        <v>5</v>
      </c>
      <c r="R188">
        <v>1</v>
      </c>
      <c r="S188">
        <v>1.9348000000000001</v>
      </c>
      <c r="T188">
        <v>23245</v>
      </c>
      <c r="U188">
        <v>29819</v>
      </c>
      <c r="V188">
        <v>0.77953653710721305</v>
      </c>
      <c r="W188">
        <f t="shared" si="8"/>
        <v>26532</v>
      </c>
      <c r="X188">
        <f t="shared" si="9"/>
        <v>51334.113600000004</v>
      </c>
      <c r="Y188">
        <f t="shared" si="10"/>
        <v>7.6303979270349667E-2</v>
      </c>
      <c r="Z188">
        <f t="shared" si="11"/>
        <v>0.11911318473226606</v>
      </c>
    </row>
    <row r="189" spans="1:26" x14ac:dyDescent="0.25">
      <c r="A189">
        <v>91</v>
      </c>
      <c r="B189" t="s">
        <v>51</v>
      </c>
      <c r="C189" t="s">
        <v>51</v>
      </c>
      <c r="D189" t="s">
        <v>24</v>
      </c>
      <c r="E189" t="s">
        <v>25</v>
      </c>
      <c r="F189">
        <v>8.6076396432741191</v>
      </c>
      <c r="G189">
        <v>0.39830780368312402</v>
      </c>
      <c r="H189" t="s">
        <v>26</v>
      </c>
      <c r="I189">
        <v>50</v>
      </c>
      <c r="J189">
        <v>34.430558573096398</v>
      </c>
      <c r="K189" t="s">
        <v>41</v>
      </c>
      <c r="L189">
        <v>1.5</v>
      </c>
      <c r="M189">
        <v>53.1077071577499</v>
      </c>
      <c r="N189">
        <v>112.461734269153</v>
      </c>
      <c r="O189">
        <v>0</v>
      </c>
      <c r="Q189">
        <v>5</v>
      </c>
      <c r="R189">
        <v>1</v>
      </c>
      <c r="S189">
        <v>4.1599999999999998E-2</v>
      </c>
      <c r="T189">
        <v>226928</v>
      </c>
      <c r="U189">
        <v>287554</v>
      </c>
      <c r="V189">
        <v>0.78916655654242296</v>
      </c>
      <c r="W189">
        <f t="shared" si="8"/>
        <v>257241</v>
      </c>
      <c r="X189">
        <f t="shared" si="9"/>
        <v>10701.2256</v>
      </c>
      <c r="Y189">
        <f t="shared" si="10"/>
        <v>0.73980521376013941</v>
      </c>
      <c r="Z189">
        <f t="shared" si="11"/>
        <v>2.4830604297304059E-2</v>
      </c>
    </row>
    <row r="190" spans="1:26" x14ac:dyDescent="0.25">
      <c r="A190">
        <v>92</v>
      </c>
      <c r="B190" t="s">
        <v>51</v>
      </c>
      <c r="C190" t="s">
        <v>51</v>
      </c>
      <c r="D190" t="s">
        <v>24</v>
      </c>
      <c r="E190" t="s">
        <v>25</v>
      </c>
      <c r="F190">
        <v>8.0778186244302201</v>
      </c>
      <c r="G190">
        <v>8.7399319850129997E-2</v>
      </c>
      <c r="H190" t="s">
        <v>26</v>
      </c>
      <c r="I190">
        <v>50</v>
      </c>
      <c r="J190">
        <v>32.311274497720902</v>
      </c>
      <c r="K190" t="s">
        <v>56</v>
      </c>
      <c r="L190">
        <v>0.3</v>
      </c>
      <c r="M190">
        <v>58.266213233419997</v>
      </c>
      <c r="N190">
        <v>109.42251226885899</v>
      </c>
      <c r="O190">
        <v>0</v>
      </c>
      <c r="Q190">
        <v>5</v>
      </c>
      <c r="R190">
        <v>1</v>
      </c>
      <c r="S190">
        <v>3.9100000000000003E-2</v>
      </c>
      <c r="T190">
        <v>177630</v>
      </c>
      <c r="U190">
        <v>210305</v>
      </c>
      <c r="V190">
        <v>0.84463041772663505</v>
      </c>
      <c r="W190">
        <f t="shared" si="8"/>
        <v>193967.5</v>
      </c>
      <c r="X190">
        <f t="shared" si="9"/>
        <v>7584.1292500000009</v>
      </c>
      <c r="Y190">
        <f t="shared" si="10"/>
        <v>0.55783552310875728</v>
      </c>
      <c r="Z190">
        <f t="shared" si="11"/>
        <v>1.7597845273569359E-2</v>
      </c>
    </row>
    <row r="191" spans="1:26" x14ac:dyDescent="0.25">
      <c r="A191">
        <v>93</v>
      </c>
      <c r="B191" t="s">
        <v>51</v>
      </c>
      <c r="C191" t="s">
        <v>51</v>
      </c>
      <c r="D191" t="s">
        <v>24</v>
      </c>
      <c r="E191" t="s">
        <v>25</v>
      </c>
      <c r="F191">
        <v>4.0481171259102302</v>
      </c>
      <c r="G191">
        <v>2.9936475381831902</v>
      </c>
      <c r="H191" t="s">
        <v>33</v>
      </c>
      <c r="I191">
        <v>10</v>
      </c>
      <c r="J191">
        <v>80.962342518204593</v>
      </c>
      <c r="K191" t="s">
        <v>47</v>
      </c>
      <c r="L191">
        <v>10</v>
      </c>
      <c r="M191">
        <v>59.872950763663901</v>
      </c>
      <c r="N191">
        <v>59.164706718131399</v>
      </c>
      <c r="O191">
        <v>0</v>
      </c>
      <c r="Q191">
        <v>5</v>
      </c>
      <c r="R191">
        <v>1</v>
      </c>
      <c r="S191">
        <v>0.82650000000000001</v>
      </c>
      <c r="T191">
        <v>45955</v>
      </c>
      <c r="U191">
        <v>62420</v>
      </c>
      <c r="V191">
        <v>0.73622236462672197</v>
      </c>
      <c r="W191">
        <f t="shared" si="8"/>
        <v>54187.5</v>
      </c>
      <c r="X191">
        <f t="shared" si="9"/>
        <v>44785.96875</v>
      </c>
      <c r="Y191">
        <f t="shared" si="10"/>
        <v>0.15583905761767197</v>
      </c>
      <c r="Z191">
        <f t="shared" si="11"/>
        <v>0.10391918735949976</v>
      </c>
    </row>
    <row r="192" spans="1:26" x14ac:dyDescent="0.25">
      <c r="A192">
        <v>94</v>
      </c>
      <c r="B192" t="s">
        <v>51</v>
      </c>
      <c r="C192" t="s">
        <v>51</v>
      </c>
      <c r="D192" t="s">
        <v>24</v>
      </c>
      <c r="E192" t="s">
        <v>25</v>
      </c>
      <c r="F192">
        <v>0.88826450349862096</v>
      </c>
      <c r="G192">
        <v>13.6792098320617</v>
      </c>
      <c r="H192" t="s">
        <v>31</v>
      </c>
      <c r="I192">
        <v>4</v>
      </c>
      <c r="J192">
        <v>44.413225174931</v>
      </c>
      <c r="K192" t="s">
        <v>28</v>
      </c>
      <c r="L192">
        <v>50</v>
      </c>
      <c r="M192">
        <v>54.716839328246799</v>
      </c>
      <c r="N192">
        <v>100.869935496822</v>
      </c>
      <c r="O192">
        <v>0</v>
      </c>
      <c r="Q192">
        <v>5</v>
      </c>
      <c r="R192">
        <v>1</v>
      </c>
      <c r="S192">
        <v>6.2100000000000002E-2</v>
      </c>
      <c r="T192">
        <v>204321</v>
      </c>
      <c r="U192">
        <v>258444</v>
      </c>
      <c r="V192">
        <v>0.79058132516135005</v>
      </c>
      <c r="W192">
        <f t="shared" si="8"/>
        <v>231382.5</v>
      </c>
      <c r="X192">
        <f t="shared" si="9"/>
        <v>14368.85325</v>
      </c>
      <c r="Y192">
        <f t="shared" si="10"/>
        <v>0.66543816838239422</v>
      </c>
      <c r="Z192">
        <f t="shared" si="11"/>
        <v>3.3340789419184037E-2</v>
      </c>
    </row>
    <row r="193" spans="1:26" x14ac:dyDescent="0.25">
      <c r="A193">
        <v>95</v>
      </c>
      <c r="B193" t="s">
        <v>51</v>
      </c>
      <c r="C193" t="s">
        <v>51</v>
      </c>
      <c r="D193" t="s">
        <v>24</v>
      </c>
      <c r="E193" t="s">
        <v>25</v>
      </c>
      <c r="F193">
        <v>1.25975820304315</v>
      </c>
      <c r="G193">
        <v>1.3530876246775101</v>
      </c>
      <c r="H193" t="s">
        <v>31</v>
      </c>
      <c r="I193">
        <v>4</v>
      </c>
      <c r="J193">
        <v>62.987910152157603</v>
      </c>
      <c r="K193" t="s">
        <v>43</v>
      </c>
      <c r="L193">
        <v>4</v>
      </c>
      <c r="M193">
        <v>67.654381233875696</v>
      </c>
      <c r="N193">
        <v>69.357708613966594</v>
      </c>
      <c r="O193">
        <v>0</v>
      </c>
      <c r="Q193">
        <v>5</v>
      </c>
      <c r="R193">
        <v>1</v>
      </c>
      <c r="S193">
        <v>0.34570000000000001</v>
      </c>
      <c r="T193">
        <v>57254</v>
      </c>
      <c r="U193">
        <v>73297</v>
      </c>
      <c r="V193">
        <v>0.78112337476295002</v>
      </c>
      <c r="W193">
        <f t="shared" si="8"/>
        <v>65275.5</v>
      </c>
      <c r="X193">
        <f t="shared" si="9"/>
        <v>22565.74035</v>
      </c>
      <c r="Y193">
        <f t="shared" si="10"/>
        <v>0.18772728776050468</v>
      </c>
      <c r="Z193">
        <f t="shared" si="11"/>
        <v>5.2360448256184564E-2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iterative_experiment_results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Imaging Controller</cp:lastModifiedBy>
  <dcterms:created xsi:type="dcterms:W3CDTF">2026-03-11T14:05:55Z</dcterms:created>
  <dcterms:modified xsi:type="dcterms:W3CDTF">2026-03-11T14:05:55Z</dcterms:modified>
</cp:coreProperties>
</file>